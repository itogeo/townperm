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-List (50 Priority)" sheetId="1" state="visible" r:id="rId3"/>
    <sheet name="B-List (200)" sheetId="2" state="visible" r:id="rId4"/>
    <sheet name="Email Templates" sheetId="3" state="visible" r:id="rId5"/>
    <sheet name="Dashboard" sheetId="4" state="visible" r:id="rId6"/>
    <sheet name="Competitor Int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<sst xmlns="http://schemas.openxmlformats.org/spreadsheetml/2006/main" count="1040" uniqueCount="631">
  <si>
    <t xml:space="preserve">Tier</t>
  </si>
  <si>
    <t xml:space="preserve">State</t>
  </si>
  <si>
    <t xml:space="preserve">Town</t>
  </si>
  <si>
    <t xml:space="preserve">Population</t>
  </si>
  <si>
    <t xml:space="preserve">County</t>
  </si>
  <si>
    <t xml:space="preserve">Contact Name</t>
  </si>
  <si>
    <t xml:space="preserve">Title</t>
  </si>
  <si>
    <t xml:space="preserve">Email</t>
  </si>
  <si>
    <t xml:space="preserve">Phone</t>
  </si>
  <si>
    <t xml:space="preserve">Website</t>
  </si>
  <si>
    <t xml:space="preserve">Current System</t>
  </si>
  <si>
    <t xml:space="preserve">Pain Point</t>
  </si>
  <si>
    <t xml:space="preserve">Personalization Hook</t>
  </si>
  <si>
    <t xml:space="preserve">Status</t>
  </si>
  <si>
    <t xml:space="preserve">Date Contacted</t>
  </si>
  <si>
    <t xml:space="preserve">Response</t>
  </si>
  <si>
    <t xml:space="preserve">Follow-up Date</t>
  </si>
  <si>
    <t xml:space="preserve">Notes</t>
  </si>
  <si>
    <t xml:space="preserve">A</t>
  </si>
  <si>
    <t xml:space="preserve">MT</t>
  </si>
  <si>
    <t xml:space="preserve">Three Forks</t>
  </si>
  <si>
    <t xml:space="preserve">Gallatin</t>
  </si>
  <si>
    <t xml:space="preserve">Crystal Turner</t>
  </si>
  <si>
    <t xml:space="preserve">City Clerk</t>
  </si>
  <si>
    <t xml:space="preserve">clerk@threeforksmt.gov</t>
  </si>
  <si>
    <t xml:space="preserve">(406) 285-3431</t>
  </si>
  <si>
    <t xml:space="preserve">https://threeforksmt.gov</t>
  </si>
  <si>
    <t xml:space="preserve">Paper/PDF</t>
  </si>
  <si>
    <t xml:space="preserve">Permit tracking, council reporting</t>
  </si>
  <si>
    <t xml:space="preserve">Already demoed HometownMap - warm lead</t>
  </si>
  <si>
    <t xml:space="preserve">Not Contacted</t>
  </si>
  <si>
    <t xml:space="preserve">Manhattan</t>
  </si>
  <si>
    <t xml:space="preserve">Brandon Yung</t>
  </si>
  <si>
    <t xml:space="preserve">Building Official</t>
  </si>
  <si>
    <t xml:space="preserve">planning@manhattanmt.gov</t>
  </si>
  <si>
    <t xml:space="preserve">(406) 595-9300</t>
  </si>
  <si>
    <t xml:space="preserve">https://manhattanmt.gov</t>
  </si>
  <si>
    <t xml:space="preserve">Paper</t>
  </si>
  <si>
    <t xml:space="preserve">No parcel integration</t>
  </si>
  <si>
    <t xml:space="preserve">Neighbor to Three Forks - easy reference</t>
  </si>
  <si>
    <t xml:space="preserve">Belgrade</t>
  </si>
  <si>
    <t xml:space="preserve">Planning Dept</t>
  </si>
  <si>
    <t xml:space="preserve">City Planner</t>
  </si>
  <si>
    <t xml:space="preserve">planning@cityofbelgrade.net</t>
  </si>
  <si>
    <t xml:space="preserve">(406) 388-3760</t>
  </si>
  <si>
    <t xml:space="preserve">https://cityofbelgrade.net</t>
  </si>
  <si>
    <t xml:space="preserve">Unknown</t>
  </si>
  <si>
    <t xml:space="preserve">Rapid growth, likely paper</t>
  </si>
  <si>
    <t xml:space="preserve">Fastest growing MT city - needs systems</t>
  </si>
  <si>
    <t xml:space="preserve">Livingston</t>
  </si>
  <si>
    <t xml:space="preserve">Park</t>
  </si>
  <si>
    <t xml:space="preserve">cityclerk@livingstonmontana.org</t>
  </si>
  <si>
    <t xml:space="preserve">(406) 222-2025</t>
  </si>
  <si>
    <t xml:space="preserve">https://livingstonmontana.org</t>
  </si>
  <si>
    <t xml:space="preserve">Gateway to Yellowstone</t>
  </si>
  <si>
    <t xml:space="preserve">Tourism growth driving permits</t>
  </si>
  <si>
    <t xml:space="preserve">Big Timber</t>
  </si>
  <si>
    <t xml:space="preserve">Sweet Grass</t>
  </si>
  <si>
    <t xml:space="preserve">Clerk/Treasurer</t>
  </si>
  <si>
    <t xml:space="preserve">bigtimber@itstriangle.com</t>
  </si>
  <si>
    <t xml:space="preserve">(406) 932-5245</t>
  </si>
  <si>
    <t xml:space="preserve">Small staff, manual processes</t>
  </si>
  <si>
    <t xml:space="preserve">Classic small MT town</t>
  </si>
  <si>
    <t xml:space="preserve">Townsend</t>
  </si>
  <si>
    <t xml:space="preserve">Broadwater</t>
  </si>
  <si>
    <t xml:space="preserve">Clerk</t>
  </si>
  <si>
    <t xml:space="preserve">clerk@townsendmt.com</t>
  </si>
  <si>
    <t xml:space="preserve">(406) 266-3911</t>
  </si>
  <si>
    <t xml:space="preserve">https://townsendmt.com</t>
  </si>
  <si>
    <t xml:space="preserve">Growing, needs efficiency</t>
  </si>
  <si>
    <t xml:space="preserve">Near Helena, spillover growth</t>
  </si>
  <si>
    <t xml:space="preserve">Dillon</t>
  </si>
  <si>
    <t xml:space="preserve">Beaverhead</t>
  </si>
  <si>
    <t xml:space="preserve">Planner</t>
  </si>
  <si>
    <t xml:space="preserve">planning@dillonmt.org</t>
  </si>
  <si>
    <t xml:space="preserve">(406) 683-4245</t>
  </si>
  <si>
    <t xml:space="preserve">https://dillonmt.org</t>
  </si>
  <si>
    <t xml:space="preserve">University town, steady permits</t>
  </si>
  <si>
    <t xml:space="preserve">College town dynamics</t>
  </si>
  <si>
    <t xml:space="preserve">Red Lodge</t>
  </si>
  <si>
    <t xml:space="preserve">Carbon</t>
  </si>
  <si>
    <t xml:space="preserve">City Admin</t>
  </si>
  <si>
    <t xml:space="preserve">Administrator</t>
  </si>
  <si>
    <t xml:space="preserve">admin@cityofredlodge.net</t>
  </si>
  <si>
    <t xml:space="preserve">(406) 446-1606</t>
  </si>
  <si>
    <t xml:space="preserve">https://cityofredlodge.net</t>
  </si>
  <si>
    <t xml:space="preserve">Tourism, historic district</t>
  </si>
  <si>
    <t xml:space="preserve">Ski town, design review needed</t>
  </si>
  <si>
    <t xml:space="preserve">Columbus</t>
  </si>
  <si>
    <t xml:space="preserve">Stillwater</t>
  </si>
  <si>
    <t xml:space="preserve">columbus@stillwater.mt.gov</t>
  </si>
  <si>
    <t xml:space="preserve">(406) 322-5313</t>
  </si>
  <si>
    <t xml:space="preserve">Basic needs</t>
  </si>
  <si>
    <t xml:space="preserve">Growing bedroom community</t>
  </si>
  <si>
    <t xml:space="preserve">Ennis</t>
  </si>
  <si>
    <t xml:space="preserve">Madison</t>
  </si>
  <si>
    <t xml:space="preserve">Town Clerk</t>
  </si>
  <si>
    <t xml:space="preserve">townofennis@3rivers.net</t>
  </si>
  <si>
    <t xml:space="preserve">(406) 682-4287</t>
  </si>
  <si>
    <t xml:space="preserve">https://ennismontana.org</t>
  </si>
  <si>
    <t xml:space="preserve">Fly fishing tourism</t>
  </si>
  <si>
    <t xml:space="preserve">Small but affluent tourism</t>
  </si>
  <si>
    <t xml:space="preserve">ME</t>
  </si>
  <si>
    <t xml:space="preserve">Pownal</t>
  </si>
  <si>
    <t xml:space="preserve">Cumberland</t>
  </si>
  <si>
    <t xml:space="preserve">Millard Billings</t>
  </si>
  <si>
    <t xml:space="preserve">CEO</t>
  </si>
  <si>
    <t xml:space="preserve">ceo@pownalmaine.org</t>
  </si>
  <si>
    <t xml:space="preserve">(207) 688-4611</t>
  </si>
  <si>
    <t xml:space="preserve">https://pownalmaine.org</t>
  </si>
  <si>
    <t xml:space="preserve">176 permits/year on paper!</t>
  </si>
  <si>
    <t xml:space="preserve">CONFIRMED paper - Annual report shows pain</t>
  </si>
  <si>
    <t xml:space="preserve">Franklin</t>
  </si>
  <si>
    <t xml:space="preserve">Hancock</t>
  </si>
  <si>
    <t xml:space="preserve">ceo@franklinmaine.com</t>
  </si>
  <si>
    <t xml:space="preserve">(207) 565-8806</t>
  </si>
  <si>
    <t xml:space="preserve">https://franklinmaine.com</t>
  </si>
  <si>
    <t xml:space="preserve">Part-time CEO, manual tracking</t>
  </si>
  <si>
    <t xml:space="preserve">Only available Mon 9-11am - understaffed</t>
  </si>
  <si>
    <t xml:space="preserve">Southwest Harbor</t>
  </si>
  <si>
    <t xml:space="preserve">Jarrod Kushla</t>
  </si>
  <si>
    <t xml:space="preserve">ceo@southwestharbor.org</t>
  </si>
  <si>
    <t xml:space="preserve">(207) 244-5404</t>
  </si>
  <si>
    <t xml:space="preserve">https://southwestharbormaine.org</t>
  </si>
  <si>
    <t xml:space="preserve">Tourism area, shoreland permits</t>
  </si>
  <si>
    <t xml:space="preserve">Acadia gateway - complex permits</t>
  </si>
  <si>
    <t xml:space="preserve">Bucksport</t>
  </si>
  <si>
    <t xml:space="preserve">Luke Chiavelli</t>
  </si>
  <si>
    <t xml:space="preserve">ceo@bucksportmaine.gov</t>
  </si>
  <si>
    <t xml:space="preserve">(207) 469-7368</t>
  </si>
  <si>
    <t xml:space="preserve">https://bucksportmaine.gov</t>
  </si>
  <si>
    <t xml:space="preserve">One person does everything</t>
  </si>
  <si>
    <t xml:space="preserve">CEO also does plumbing, addressing</t>
  </si>
  <si>
    <t xml:space="preserve">Sweden</t>
  </si>
  <si>
    <t xml:space="preserve">Oxford</t>
  </si>
  <si>
    <t xml:space="preserve">Peter Gordon</t>
  </si>
  <si>
    <t xml:space="preserve">ceo@swedenmaine.org</t>
  </si>
  <si>
    <t xml:space="preserve">(207) 298-6248</t>
  </si>
  <si>
    <t xml:space="preserve">https://swedenmaine.org</t>
  </si>
  <si>
    <t xml:space="preserve">Tiny town, minimal hours</t>
  </si>
  <si>
    <t xml:space="preserve">Fridays 11-3 only - needs efficiency</t>
  </si>
  <si>
    <t xml:space="preserve">Hermon</t>
  </si>
  <si>
    <t xml:space="preserve">Penobscot</t>
  </si>
  <si>
    <t xml:space="preserve">Josh Murphy</t>
  </si>
  <si>
    <t xml:space="preserve">murphyj@hermonmaine.gov</t>
  </si>
  <si>
    <t xml:space="preserve">(207) 848-1042</t>
  </si>
  <si>
    <t xml:space="preserve">https://hermonmaine.gov</t>
  </si>
  <si>
    <t xml:space="preserve">Growing suburb, PDF forms</t>
  </si>
  <si>
    <t xml:space="preserve">Active planning board</t>
  </si>
  <si>
    <t xml:space="preserve">Clinton</t>
  </si>
  <si>
    <t xml:space="preserve">Kennebec</t>
  </si>
  <si>
    <t xml:space="preserve">ceo@clinton-me.us</t>
  </si>
  <si>
    <t xml:space="preserve">(207) 426-8511</t>
  </si>
  <si>
    <t xml:space="preserve">https://clinton-me.us</t>
  </si>
  <si>
    <t xml:space="preserve">Multi-role position</t>
  </si>
  <si>
    <t xml:space="preserve">CEO does 6+ different jobs</t>
  </si>
  <si>
    <t xml:space="preserve">Monmouth</t>
  </si>
  <si>
    <t xml:space="preserve">ceo@monmouthmaine.gov</t>
  </si>
  <si>
    <t xml:space="preserve">(207) 933-2206</t>
  </si>
  <si>
    <t xml:space="preserve">https://monmouthmaine.gov</t>
  </si>
  <si>
    <t xml:space="preserve">3rd party inspectors used</t>
  </si>
  <si>
    <t xml:space="preserve">Needs coordination tools</t>
  </si>
  <si>
    <t xml:space="preserve">WY</t>
  </si>
  <si>
    <t xml:space="preserve">Dubois</t>
  </si>
  <si>
    <t xml:space="preserve">Fremont</t>
  </si>
  <si>
    <t xml:space="preserve">clerk@townofdubois.org</t>
  </si>
  <si>
    <t xml:space="preserve">(307) 455-2345</t>
  </si>
  <si>
    <t xml:space="preserve">Gateway to wilderness</t>
  </si>
  <si>
    <t xml:space="preserve">Tourism permits</t>
  </si>
  <si>
    <t xml:space="preserve">Saratoga</t>
  </si>
  <si>
    <t xml:space="preserve">clerk@saratoga-wy.gov</t>
  </si>
  <si>
    <t xml:space="preserve">(307) 326-8335</t>
  </si>
  <si>
    <t xml:space="preserve">https://saratoga-wy.gov</t>
  </si>
  <si>
    <t xml:space="preserve">Hot springs tourism</t>
  </si>
  <si>
    <t xml:space="preserve">Small but active</t>
  </si>
  <si>
    <t xml:space="preserve">Pinedale</t>
  </si>
  <si>
    <t xml:space="preserve">Sublette</t>
  </si>
  <si>
    <t xml:space="preserve">clerk@townofpinedale.us</t>
  </si>
  <si>
    <t xml:space="preserve">(307) 367-4136</t>
  </si>
  <si>
    <t xml:space="preserve">https://townofpinedale.us</t>
  </si>
  <si>
    <t xml:space="preserve">Energy + tourism</t>
  </si>
  <si>
    <t xml:space="preserve">Boom/bust permit cycles</t>
  </si>
  <si>
    <t xml:space="preserve">Lander</t>
  </si>
  <si>
    <t xml:space="preserve">planning@landerwyoming.org</t>
  </si>
  <si>
    <t xml:space="preserve">(307) 332-2870</t>
  </si>
  <si>
    <t xml:space="preserve">https://landerwyoming.org</t>
  </si>
  <si>
    <t xml:space="preserve">Outdoor rec hub</t>
  </si>
  <si>
    <t xml:space="preserve">Growing steadily</t>
  </si>
  <si>
    <t xml:space="preserve">Thermopolis</t>
  </si>
  <si>
    <t xml:space="preserve">Hot Springs</t>
  </si>
  <si>
    <t xml:space="preserve">clerk@thermopolis.org</t>
  </si>
  <si>
    <t xml:space="preserve">(307) 864-2348</t>
  </si>
  <si>
    <t xml:space="preserve">Hot springs, small town</t>
  </si>
  <si>
    <t xml:space="preserve">Tourism infrastructure</t>
  </si>
  <si>
    <t xml:space="preserve">ID</t>
  </si>
  <si>
    <t xml:space="preserve">Idaho City</t>
  </si>
  <si>
    <t xml:space="preserve">Boise</t>
  </si>
  <si>
    <t xml:space="preserve">clerk@idahocity.gov</t>
  </si>
  <si>
    <t xml:space="preserve">(208) 392-4584</t>
  </si>
  <si>
    <t xml:space="preserve">https://idahocity.municipalimpact.com</t>
  </si>
  <si>
    <t xml:space="preserve">Historic mining town</t>
  </si>
  <si>
    <t xml:space="preserve">Website shows PDF permits</t>
  </si>
  <si>
    <t xml:space="preserve">Driggs</t>
  </si>
  <si>
    <t xml:space="preserve">Teton</t>
  </si>
  <si>
    <t xml:space="preserve">clerk@driggs.id.gov</t>
  </si>
  <si>
    <t xml:space="preserve">(208) 354-2362</t>
  </si>
  <si>
    <t xml:space="preserve">https://driggs.id.gov</t>
  </si>
  <si>
    <t xml:space="preserve">Teton Valley gateway</t>
  </si>
  <si>
    <t xml:space="preserve">Ski area growth</t>
  </si>
  <si>
    <t xml:space="preserve">Victor</t>
  </si>
  <si>
    <t xml:space="preserve">clerk@victorcityidaho.com</t>
  </si>
  <si>
    <t xml:space="preserve">(208) 787-2940</t>
  </si>
  <si>
    <t xml:space="preserve">https://victorcityidaho.com</t>
  </si>
  <si>
    <t xml:space="preserve">Adjacent to Jackson Hole</t>
  </si>
  <si>
    <t xml:space="preserve">Spillover development</t>
  </si>
  <si>
    <t xml:space="preserve">Salmon</t>
  </si>
  <si>
    <t xml:space="preserve">Lemhi</t>
  </si>
  <si>
    <t xml:space="preserve">clerk@cityofsalmonidaho.com</t>
  </si>
  <si>
    <t xml:space="preserve">(208) 756-3214</t>
  </si>
  <si>
    <t xml:space="preserve">Remote, outdoor rec</t>
  </si>
  <si>
    <t xml:space="preserve">Wilderness permits</t>
  </si>
  <si>
    <t xml:space="preserve">McCall</t>
  </si>
  <si>
    <t xml:space="preserve">Valley</t>
  </si>
  <si>
    <t xml:space="preserve">Planning</t>
  </si>
  <si>
    <t xml:space="preserve">planning@mccall.id.us</t>
  </si>
  <si>
    <t xml:space="preserve">(208) 634-3504</t>
  </si>
  <si>
    <t xml:space="preserve">https://mccall.id.us</t>
  </si>
  <si>
    <t xml:space="preserve">Resort town</t>
  </si>
  <si>
    <t xml:space="preserve">High permit volume</t>
  </si>
  <si>
    <t xml:space="preserve">CO</t>
  </si>
  <si>
    <t xml:space="preserve">Idaho Springs</t>
  </si>
  <si>
    <t xml:space="preserve">Clear Creek</t>
  </si>
  <si>
    <t xml:space="preserve">cityclerk@idahospringsco.com</t>
  </si>
  <si>
    <t xml:space="preserve">(303) 567-4421</t>
  </si>
  <si>
    <t xml:space="preserve">https://idahospringsco.com</t>
  </si>
  <si>
    <t xml:space="preserve">Mountain town, 2018 IBC</t>
  </si>
  <si>
    <t xml:space="preserve">Website shows manual permits</t>
  </si>
  <si>
    <t xml:space="preserve">Silverton</t>
  </si>
  <si>
    <t xml:space="preserve">San Juan</t>
  </si>
  <si>
    <t xml:space="preserve">clerk@silverton.co.gov</t>
  </si>
  <si>
    <t xml:space="preserve">(970) 387-5522</t>
  </si>
  <si>
    <t xml:space="preserve">Historic ski town</t>
  </si>
  <si>
    <t xml:space="preserve">Mining + tourism permits</t>
  </si>
  <si>
    <t xml:space="preserve">NM</t>
  </si>
  <si>
    <t xml:space="preserve">Red River</t>
  </si>
  <si>
    <t xml:space="preserve">Taos</t>
  </si>
  <si>
    <t xml:space="preserve">clerk@redriver.org</t>
  </si>
  <si>
    <t xml:space="preserve">(575) 754-2277</t>
  </si>
  <si>
    <t xml:space="preserve">https://redriver.org</t>
  </si>
  <si>
    <t xml:space="preserve">Ski valley</t>
  </si>
  <si>
    <t xml:space="preserve">Seasonal surge</t>
  </si>
  <si>
    <t xml:space="preserve">Angel Fire</t>
  </si>
  <si>
    <t xml:space="preserve">Colfax</t>
  </si>
  <si>
    <t xml:space="preserve">clerk@angelfire.org</t>
  </si>
  <si>
    <t xml:space="preserve">(575) 377-3232</t>
  </si>
  <si>
    <t xml:space="preserve">https://angelfire.org</t>
  </si>
  <si>
    <t xml:space="preserve">Resort community</t>
  </si>
  <si>
    <t xml:space="preserve">Vacation home permits</t>
  </si>
  <si>
    <t xml:space="preserve">SD</t>
  </si>
  <si>
    <t xml:space="preserve">Deadwood</t>
  </si>
  <si>
    <t xml:space="preserve">Lawrence</t>
  </si>
  <si>
    <t xml:space="preserve">City Finance</t>
  </si>
  <si>
    <t xml:space="preserve">Finance Officer</t>
  </si>
  <si>
    <t xml:space="preserve">finance@cityofdeadwood.com</t>
  </si>
  <si>
    <t xml:space="preserve">(605) 578-2082</t>
  </si>
  <si>
    <t xml:space="preserve">https://cityofdeadwood.com</t>
  </si>
  <si>
    <t xml:space="preserve">Gaming + historic</t>
  </si>
  <si>
    <t xml:space="preserve">Design review needed</t>
  </si>
  <si>
    <t xml:space="preserve">Hill City</t>
  </si>
  <si>
    <t xml:space="preserve">Pennington</t>
  </si>
  <si>
    <t xml:space="preserve">clerk@hillcitysd.org</t>
  </si>
  <si>
    <t xml:space="preserve">(605) 574-2300</t>
  </si>
  <si>
    <t xml:space="preserve">https://hillcitysd.org</t>
  </si>
  <si>
    <t xml:space="preserve">Rushmore gateway</t>
  </si>
  <si>
    <t xml:space="preserve">NV</t>
  </si>
  <si>
    <t xml:space="preserve">Genoa</t>
  </si>
  <si>
    <t xml:space="preserve">Douglas</t>
  </si>
  <si>
    <t xml:space="preserve">clerk@genoanv.org</t>
  </si>
  <si>
    <t xml:space="preserve">(775) 782-8696</t>
  </si>
  <si>
    <t xml:space="preserve">https://genoanv.org</t>
  </si>
  <si>
    <t xml:space="preserve">Nevada's oldest town</t>
  </si>
  <si>
    <t xml:space="preserve">Historic preservation</t>
  </si>
  <si>
    <t xml:space="preserve">AZ</t>
  </si>
  <si>
    <t xml:space="preserve">Jerome</t>
  </si>
  <si>
    <t xml:space="preserve">Yavapai</t>
  </si>
  <si>
    <t xml:space="preserve">clerk@jerome.az.gov</t>
  </si>
  <si>
    <t xml:space="preserve">(928) 634-7943</t>
  </si>
  <si>
    <t xml:space="preserve">https://jerome.az.gov</t>
  </si>
  <si>
    <t xml:space="preserve">Tourism + preservation</t>
  </si>
  <si>
    <t xml:space="preserve">Email Pattern</t>
  </si>
  <si>
    <t xml:space="preserve">Date Sent</t>
  </si>
  <si>
    <t xml:space="preserve">Opened</t>
  </si>
  <si>
    <t xml:space="preserve">Clicked</t>
  </si>
  <si>
    <t xml:space="preserve">Replied</t>
  </si>
  <si>
    <t xml:space="preserve">Glendive</t>
  </si>
  <si>
    <t xml:space="preserve">Dawson</t>
  </si>
  <si>
    <t xml:space="preserve">clerk@cityofglendive.com</t>
  </si>
  <si>
    <t xml:space="preserve">Not Sent</t>
  </si>
  <si>
    <t xml:space="preserve">Hardin</t>
  </si>
  <si>
    <t xml:space="preserve">Big Horn</t>
  </si>
  <si>
    <t xml:space="preserve">clerk@hardinmt.com</t>
  </si>
  <si>
    <t xml:space="preserve">Shelby</t>
  </si>
  <si>
    <t xml:space="preserve">Toole</t>
  </si>
  <si>
    <t xml:space="preserve">clerk@shelbymt.com</t>
  </si>
  <si>
    <t xml:space="preserve">Glasgow</t>
  </si>
  <si>
    <t xml:space="preserve">clerk@glasgowmt.net</t>
  </si>
  <si>
    <t xml:space="preserve">Libby</t>
  </si>
  <si>
    <t xml:space="preserve">Lincoln</t>
  </si>
  <si>
    <t xml:space="preserve">clerk@cityoflibby.com</t>
  </si>
  <si>
    <t xml:space="preserve">Cut Bank</t>
  </si>
  <si>
    <t xml:space="preserve">Glacier</t>
  </si>
  <si>
    <t xml:space="preserve">clerk@cutbankmt.org</t>
  </si>
  <si>
    <t xml:space="preserve">Deer Lodge</t>
  </si>
  <si>
    <t xml:space="preserve">Powell</t>
  </si>
  <si>
    <t xml:space="preserve">clerk@deerlodgemt.org</t>
  </si>
  <si>
    <t xml:space="preserve">Conrad</t>
  </si>
  <si>
    <t xml:space="preserve">Pondera</t>
  </si>
  <si>
    <t xml:space="preserve">clerk@conradmt.com</t>
  </si>
  <si>
    <t xml:space="preserve">Wolf Point</t>
  </si>
  <si>
    <t xml:space="preserve">Roosevelt</t>
  </si>
  <si>
    <t xml:space="preserve">clerk@wolfpoint.org</t>
  </si>
  <si>
    <t xml:space="preserve">Stevensville</t>
  </si>
  <si>
    <t xml:space="preserve">Ravalli</t>
  </si>
  <si>
    <t xml:space="preserve">clerk@stevensville-mt.org</t>
  </si>
  <si>
    <t xml:space="preserve">Colstrip</t>
  </si>
  <si>
    <t xml:space="preserve">Rosebud</t>
  </si>
  <si>
    <t xml:space="preserve">clerk@colstripmt.org</t>
  </si>
  <si>
    <t xml:space="preserve">Malta</t>
  </si>
  <si>
    <t xml:space="preserve">Phillips</t>
  </si>
  <si>
    <t xml:space="preserve">clerk@maltamt.com</t>
  </si>
  <si>
    <t xml:space="preserve">Roundup</t>
  </si>
  <si>
    <t xml:space="preserve">Musselshell</t>
  </si>
  <si>
    <t xml:space="preserve">clerk@roundupmt.net</t>
  </si>
  <si>
    <t xml:space="preserve">Ronan</t>
  </si>
  <si>
    <t xml:space="preserve">Lake</t>
  </si>
  <si>
    <t xml:space="preserve">clerk@cityofronan.com</t>
  </si>
  <si>
    <t xml:space="preserve">Eureka</t>
  </si>
  <si>
    <t xml:space="preserve">clerk@eureka-mt.org</t>
  </si>
  <si>
    <t xml:space="preserve">Forsyth</t>
  </si>
  <si>
    <t xml:space="preserve">clerk@forsythmt.org</t>
  </si>
  <si>
    <t xml:space="preserve">Plentywood</t>
  </si>
  <si>
    <t xml:space="preserve">Sheridan</t>
  </si>
  <si>
    <t xml:space="preserve">clerk@plentywood.com</t>
  </si>
  <si>
    <t xml:space="preserve">Choteau</t>
  </si>
  <si>
    <t xml:space="preserve">clerk@choteaumt.org</t>
  </si>
  <si>
    <t xml:space="preserve">Fort Benton</t>
  </si>
  <si>
    <t xml:space="preserve">Chouteau</t>
  </si>
  <si>
    <t xml:space="preserve">clerk@fortbenton.com</t>
  </si>
  <si>
    <t xml:space="preserve">West Yellowstone</t>
  </si>
  <si>
    <t xml:space="preserve">clerk@townofwestyellowstone.com</t>
  </si>
  <si>
    <t xml:space="preserve">Chinook</t>
  </si>
  <si>
    <t xml:space="preserve">Blaine</t>
  </si>
  <si>
    <t xml:space="preserve">clerk@chinookmt.com</t>
  </si>
  <si>
    <t xml:space="preserve">Boulder</t>
  </si>
  <si>
    <t xml:space="preserve">Jefferson</t>
  </si>
  <si>
    <t xml:space="preserve">clerk@bouldermt.com</t>
  </si>
  <si>
    <t xml:space="preserve">Plains</t>
  </si>
  <si>
    <t xml:space="preserve">Sanders</t>
  </si>
  <si>
    <t xml:space="preserve">clerk@plainsmt.com</t>
  </si>
  <si>
    <t xml:space="preserve">Whitehall</t>
  </si>
  <si>
    <t xml:space="preserve">clerk@whitehallmt.org</t>
  </si>
  <si>
    <t xml:space="preserve">Harlowton</t>
  </si>
  <si>
    <t xml:space="preserve">Wheatland</t>
  </si>
  <si>
    <t xml:space="preserve">clerk@harlowton.net</t>
  </si>
  <si>
    <t xml:space="preserve">Searsport</t>
  </si>
  <si>
    <t xml:space="preserve">Waldo</t>
  </si>
  <si>
    <t xml:space="preserve">clerk@searsport.maine.gov</t>
  </si>
  <si>
    <t xml:space="preserve">Winterport</t>
  </si>
  <si>
    <t xml:space="preserve">clerk@winterportmaine.gov</t>
  </si>
  <si>
    <t xml:space="preserve">Stockton Springs</t>
  </si>
  <si>
    <t xml:space="preserve">clerk@stocktonsprings.org</t>
  </si>
  <si>
    <t xml:space="preserve">Unity</t>
  </si>
  <si>
    <t xml:space="preserve">clerk@unityme.org</t>
  </si>
  <si>
    <t xml:space="preserve">Belfast</t>
  </si>
  <si>
    <t xml:space="preserve">clerk@cityofbelfast.org</t>
  </si>
  <si>
    <t xml:space="preserve">Searsmont</t>
  </si>
  <si>
    <t xml:space="preserve">clerk@searsmont.com</t>
  </si>
  <si>
    <t xml:space="preserve">Lincolnville</t>
  </si>
  <si>
    <t xml:space="preserve">clerk@lincolnvillemaine.org</t>
  </si>
  <si>
    <t xml:space="preserve">Northport</t>
  </si>
  <si>
    <t xml:space="preserve">clerk@northportmaine.org</t>
  </si>
  <si>
    <t xml:space="preserve">Islesboro</t>
  </si>
  <si>
    <t xml:space="preserve">clerk@townofislesboro.com</t>
  </si>
  <si>
    <t xml:space="preserve">Brooks</t>
  </si>
  <si>
    <t xml:space="preserve">clerk@brooksme.org</t>
  </si>
  <si>
    <t xml:space="preserve">Castine</t>
  </si>
  <si>
    <t xml:space="preserve">clerk@castine.me.us</t>
  </si>
  <si>
    <t xml:space="preserve">Blue Hill</t>
  </si>
  <si>
    <t xml:space="preserve">clerk@townofbluehill.org</t>
  </si>
  <si>
    <t xml:space="preserve">Deer Isle</t>
  </si>
  <si>
    <t xml:space="preserve">clerk@deerisle.me</t>
  </si>
  <si>
    <t xml:space="preserve">Stonington</t>
  </si>
  <si>
    <t xml:space="preserve">clerk@stonington.me.us</t>
  </si>
  <si>
    <t xml:space="preserve">Surry</t>
  </si>
  <si>
    <t xml:space="preserve">clerk@surrymaine.org</t>
  </si>
  <si>
    <t xml:space="preserve">Trenton</t>
  </si>
  <si>
    <t xml:space="preserve">clerk@trentonme.com</t>
  </si>
  <si>
    <t xml:space="preserve">Lamoine</t>
  </si>
  <si>
    <t xml:space="preserve">clerk@lamoine-me.gov</t>
  </si>
  <si>
    <t xml:space="preserve">Gouldsboro</t>
  </si>
  <si>
    <t xml:space="preserve">clerk@gouldsboromaine.us</t>
  </si>
  <si>
    <t xml:space="preserve">Sullivan</t>
  </si>
  <si>
    <t xml:space="preserve">clerk@sullivanmaine.org</t>
  </si>
  <si>
    <t xml:space="preserve">clerk@townofhancock.us</t>
  </si>
  <si>
    <t xml:space="preserve">clerk@cityofpowell.com</t>
  </si>
  <si>
    <t xml:space="preserve">Worland</t>
  </si>
  <si>
    <t xml:space="preserve">Washakie</t>
  </si>
  <si>
    <t xml:space="preserve">clerk@cityofworland.org</t>
  </si>
  <si>
    <t xml:space="preserve">Torrington</t>
  </si>
  <si>
    <t xml:space="preserve">Goshen</t>
  </si>
  <si>
    <t xml:space="preserve">clerk@torrington-wyoming.com</t>
  </si>
  <si>
    <t xml:space="preserve">Newcastle</t>
  </si>
  <si>
    <t xml:space="preserve">Weston</t>
  </si>
  <si>
    <t xml:space="preserve">clerk@newcastlewyoming.org</t>
  </si>
  <si>
    <t xml:space="preserve">Afton</t>
  </si>
  <si>
    <t xml:space="preserve">clerk@aftonwyoming.org</t>
  </si>
  <si>
    <t xml:space="preserve">Kemmerer</t>
  </si>
  <si>
    <t xml:space="preserve">clerk@kemmerer.org</t>
  </si>
  <si>
    <t xml:space="preserve">Mountain View</t>
  </si>
  <si>
    <t xml:space="preserve">Uinta</t>
  </si>
  <si>
    <t xml:space="preserve">clerk@mountainviewwy.gov</t>
  </si>
  <si>
    <t xml:space="preserve">Green River</t>
  </si>
  <si>
    <t xml:space="preserve">Sweetwater</t>
  </si>
  <si>
    <t xml:space="preserve">clerk@cityofgreenriver.org</t>
  </si>
  <si>
    <t xml:space="preserve">Evanston</t>
  </si>
  <si>
    <t xml:space="preserve">clerk@evanstonwy.gov</t>
  </si>
  <si>
    <t xml:space="preserve">Converse</t>
  </si>
  <si>
    <t xml:space="preserve">clerk@cityofdouglas.org</t>
  </si>
  <si>
    <t xml:space="preserve">Buffalo</t>
  </si>
  <si>
    <t xml:space="preserve">Johnson</t>
  </si>
  <si>
    <t xml:space="preserve">clerk@buffalowy.gov</t>
  </si>
  <si>
    <t xml:space="preserve">Platte</t>
  </si>
  <si>
    <t xml:space="preserve">clerk@wheatlandwyoming.org</t>
  </si>
  <si>
    <t xml:space="preserve">Glenrock</t>
  </si>
  <si>
    <t xml:space="preserve">clerk@glenrockwy.org</t>
  </si>
  <si>
    <t xml:space="preserve">Lovell</t>
  </si>
  <si>
    <t xml:space="preserve">clerk@lovellwy.gov</t>
  </si>
  <si>
    <t xml:space="preserve">Basin</t>
  </si>
  <si>
    <t xml:space="preserve">clerk@basinwyoming.com</t>
  </si>
  <si>
    <t xml:space="preserve">Sandpoint</t>
  </si>
  <si>
    <t xml:space="preserve">Bonner</t>
  </si>
  <si>
    <t xml:space="preserve">clerk@sandpointidaho.gov</t>
  </si>
  <si>
    <t xml:space="preserve">Ketchum</t>
  </si>
  <si>
    <t xml:space="preserve">clerk@ketchumidaho.org</t>
  </si>
  <si>
    <t xml:space="preserve">Hailey</t>
  </si>
  <si>
    <t xml:space="preserve">clerk@haileycityhall.org</t>
  </si>
  <si>
    <t xml:space="preserve">Sun Valley</t>
  </si>
  <si>
    <t xml:space="preserve">clerk@sunvalley.com</t>
  </si>
  <si>
    <t xml:space="preserve">Orofino</t>
  </si>
  <si>
    <t xml:space="preserve">Clearwater</t>
  </si>
  <si>
    <t xml:space="preserve">clerk@orofino-id.com</t>
  </si>
  <si>
    <t xml:space="preserve">Grangeville</t>
  </si>
  <si>
    <t xml:space="preserve">Idaho</t>
  </si>
  <si>
    <t xml:space="preserve">clerk@grangeville.us</t>
  </si>
  <si>
    <t xml:space="preserve">Weiser</t>
  </si>
  <si>
    <t xml:space="preserve">Washington</t>
  </si>
  <si>
    <t xml:space="preserve">clerk@cityofweiser.net</t>
  </si>
  <si>
    <t xml:space="preserve">Payette</t>
  </si>
  <si>
    <t xml:space="preserve">clerk@cityofpayette.com</t>
  </si>
  <si>
    <t xml:space="preserve">Emmett</t>
  </si>
  <si>
    <t xml:space="preserve">Gem</t>
  </si>
  <si>
    <t xml:space="preserve">clerk@cityofemmett.org</t>
  </si>
  <si>
    <t xml:space="preserve">Homedale</t>
  </si>
  <si>
    <t xml:space="preserve">Owyhee</t>
  </si>
  <si>
    <t xml:space="preserve">clerk@cityofhomedale.com</t>
  </si>
  <si>
    <t xml:space="preserve">Rupert</t>
  </si>
  <si>
    <t xml:space="preserve">Minidoka</t>
  </si>
  <si>
    <t xml:space="preserve">clerk@rupert.id.gov</t>
  </si>
  <si>
    <t xml:space="preserve">Buhl</t>
  </si>
  <si>
    <t xml:space="preserve">Twin Falls</t>
  </si>
  <si>
    <t xml:space="preserve">clerk@cityofbuhl.us</t>
  </si>
  <si>
    <t xml:space="preserve">Gooding</t>
  </si>
  <si>
    <t xml:space="preserve">clerk@goodingidaho.org</t>
  </si>
  <si>
    <t xml:space="preserve">Shoshone</t>
  </si>
  <si>
    <t xml:space="preserve">clerk@shoshonecity.com</t>
  </si>
  <si>
    <t xml:space="preserve">Challis</t>
  </si>
  <si>
    <t xml:space="preserve">Custer</t>
  </si>
  <si>
    <t xml:space="preserve">clerk@challisidaho.us</t>
  </si>
  <si>
    <t xml:space="preserve">EMAIL TEMPLATES FOR OUTREACH</t>
  </si>
  <si>
    <t xml:space="preserve">A-LIST TEMPLATE (Personalized)</t>
  </si>
  <si>
    <t xml:space="preserve">Subject: Saw {town}'s permit forms - built something that might help</t>
  </si>
  <si>
    <t xml:space="preserve">Hi {name},</t>
  </si>
  <si>
    <t xml:space="preserve">I noticed {town} still uses paper permit applications [or: PDF forms on your website].</t>
  </si>
  <si>
    <t xml:space="preserve">I'm Ian with Ito Geospatial - I built a simple permit tracking system specifically </t>
  </si>
  <si>
    <t xml:space="preserve">for Montana towns under 5,000 people. It's what iWorQ or OpenGov do, but at 1/10th </t>
  </si>
  <si>
    <t xml:space="preserve">the price ($300/month).</t>
  </si>
  <si>
    <t xml:space="preserve">Here's a 30-second demo: [LINK]</t>
  </si>
  <si>
    <t xml:space="preserve">The map already has {county} County parcel data loaded. You could be live in a week.</t>
  </si>
  <si>
    <t xml:space="preserve">Would a quick call be useful? I'm based in Bozeman and happy to drive over.</t>
  </si>
  <si>
    <t xml:space="preserve">Ian</t>
  </si>
  <si>
    <t xml:space="preserve">Ito Geospatial</t>
  </si>
  <si>
    <t xml:space="preserve">(406) 555-0123</t>
  </si>
  <si>
    <t xml:space="preserve">B-LIST TEMPLATE (Semi-personalized)</t>
  </si>
  <si>
    <t xml:space="preserve">Subject: Permit tracking for {town} - $300/month</t>
  </si>
  <si>
    <t xml:space="preserve">Hi,</t>
  </si>
  <si>
    <t xml:space="preserve">Quick question: Is {town} still tracking permits on paper or spreadsheets?</t>
  </si>
  <si>
    <t xml:space="preserve">I built a simple permit tracking system for small towns:</t>
  </si>
  <si>
    <t xml:space="preserve">- Public can check permit status online (no more phone calls)</t>
  </si>
  <si>
    <t xml:space="preserve">- Staff dashboard shows what needs review</t>
  </si>
  <si>
    <t xml:space="preserve">- Map shows all active development</t>
  </si>
  <si>
    <t xml:space="preserve">- Instant reports for council meetings</t>
  </si>
  <si>
    <t xml:space="preserve">It's $300/month - no setup fees, cancel anytime.</t>
  </si>
  <si>
    <t xml:space="preserve">30-second demo: [LINK]</t>
  </si>
  <si>
    <t xml:space="preserve">Worth a look?</t>
  </si>
  <si>
    <t xml:space="preserve">C-LIST TEMPLATE (Mass)</t>
  </si>
  <si>
    <t xml:space="preserve">Subject: Stop losing track of permits</t>
  </si>
  <si>
    <t xml:space="preserve">I built a $300/month permit tracking system for small towns.</t>
  </si>
  <si>
    <t xml:space="preserve">- Residents check status online</t>
  </si>
  <si>
    <t xml:space="preserve">- Staff see everything on a map  </t>
  </si>
  <si>
    <t xml:space="preserve">- Reports ready for council</t>
  </si>
  <si>
    <t xml:space="preserve">Demo: [LINK]</t>
  </si>
  <si>
    <t xml:space="preserve">FOLLOW-UP #1 (3 days later)</t>
  </si>
  <si>
    <t xml:space="preserve">Subject: RE: Permit tracking for {town}</t>
  </si>
  <si>
    <t xml:space="preserve">Just bumping this up - did you get a chance to look at the demo?</t>
  </si>
  <si>
    <t xml:space="preserve">Happy to answer any questions or jump on a quick call.</t>
  </si>
  <si>
    <t xml:space="preserve">FOLLOW-UP #2 (7 days later)</t>
  </si>
  <si>
    <t xml:space="preserve">Subject: Last try - permit tracking</t>
  </si>
  <si>
    <t xml:space="preserve">I'll keep this short - if {town} ever needs an affordable way to track permits,</t>
  </si>
  <si>
    <t xml:space="preserve">I'm here. The demo link still works: [LINK]</t>
  </si>
  <si>
    <t xml:space="preserve">No hard feelings if it's not a fit. Best of luck!</t>
  </si>
  <si>
    <t xml:space="preserve">ITO GEOSPATIAL - OUTREACH DASHBOARD</t>
  </si>
  <si>
    <t xml:space="preserve">Campaign Statistics</t>
  </si>
  <si>
    <t xml:space="preserve">Total A-List Prospects</t>
  </si>
  <si>
    <t xml:space="preserve">Total B-List Prospects</t>
  </si>
  <si>
    <t xml:space="preserve">Total Prospects</t>
  </si>
  <si>
    <t xml:space="preserve">A-List Contacted</t>
  </si>
  <si>
    <t xml:space="preserve">A-List Responses</t>
  </si>
  <si>
    <t xml:space="preserve">A-List Demos Scheduled</t>
  </si>
  <si>
    <t xml:space="preserve">A-List Won</t>
  </si>
  <si>
    <t xml:space="preserve">B-List Sent</t>
  </si>
  <si>
    <t xml:space="preserve">B-List Opened</t>
  </si>
  <si>
    <t xml:space="preserve">B-List Clicked</t>
  </si>
  <si>
    <t xml:space="preserve">B-List Replied</t>
  </si>
  <si>
    <t xml:space="preserve">Conversion Targets</t>
  </si>
  <si>
    <t xml:space="preserve">Metric</t>
  </si>
  <si>
    <t xml:space="preserve">Target</t>
  </si>
  <si>
    <t xml:space="preserve">Realistic</t>
  </si>
  <si>
    <t xml:space="preserve">Stretch</t>
  </si>
  <si>
    <t xml:space="preserve">Emails Sent</t>
  </si>
  <si>
    <t xml:space="preserve">250</t>
  </si>
  <si>
    <t xml:space="preserve">500</t>
  </si>
  <si>
    <t xml:space="preserve">Opens (15-25%)</t>
  </si>
  <si>
    <t xml:space="preserve">38-63</t>
  </si>
  <si>
    <t xml:space="preserve">50</t>
  </si>
  <si>
    <t xml:space="preserve">100</t>
  </si>
  <si>
    <t xml:space="preserve">Clicks (2-5%)</t>
  </si>
  <si>
    <t xml:space="preserve">5-13</t>
  </si>
  <si>
    <t xml:space="preserve">8</t>
  </si>
  <si>
    <t xml:space="preserve">20</t>
  </si>
  <si>
    <t xml:space="preserve">Replies (0.5-2%)</t>
  </si>
  <si>
    <t xml:space="preserve">1-5</t>
  </si>
  <si>
    <t xml:space="preserve">3</t>
  </si>
  <si>
    <t xml:space="preserve">10</t>
  </si>
  <si>
    <t xml:space="preserve">Demos Scheduled</t>
  </si>
  <si>
    <t xml:space="preserve">2-5</t>
  </si>
  <si>
    <t xml:space="preserve">Deals Closed</t>
  </si>
  <si>
    <t xml:space="preserve">1-2</t>
  </si>
  <si>
    <t xml:space="preserve">1</t>
  </si>
  <si>
    <t xml:space="preserve">Monthly Revenue</t>
  </si>
  <si>
    <t xml:space="preserve">$300-600</t>
  </si>
  <si>
    <t xml:space="preserve">$300</t>
  </si>
  <si>
    <t xml:space="preserve">$900</t>
  </si>
  <si>
    <t xml:space="preserve">Annual Revenue</t>
  </si>
  <si>
    <t xml:space="preserve">$3,600-7,200</t>
  </si>
  <si>
    <t xml:space="preserve">$3,600</t>
  </si>
  <si>
    <t xml:space="preserve">$10,800</t>
  </si>
  <si>
    <t xml:space="preserve">Outreach Timeline</t>
  </si>
  <si>
    <t xml:space="preserve">Week</t>
  </si>
  <si>
    <t xml:space="preserve">Task</t>
  </si>
  <si>
    <t xml:space="preserve">Week 1</t>
  </si>
  <si>
    <t xml:space="preserve">Finalize demo, build list</t>
  </si>
  <si>
    <t xml:space="preserve">Product ready</t>
  </si>
  <si>
    <t xml:space="preserve">A-List research &amp; personalization</t>
  </si>
  <si>
    <t xml:space="preserve">50 personalized emails drafted</t>
  </si>
  <si>
    <t xml:space="preserve">Week 2</t>
  </si>
  <si>
    <t xml:space="preserve">Send A-List emails (10/day)</t>
  </si>
  <si>
    <t xml:space="preserve">50 sent</t>
  </si>
  <si>
    <t xml:space="preserve">Follow-up #1 on early sends</t>
  </si>
  <si>
    <t xml:space="preserve">Warm leads identified</t>
  </si>
  <si>
    <t xml:space="preserve">Week 3</t>
  </si>
  <si>
    <t xml:space="preserve">Send B-List batch 1 (100)</t>
  </si>
  <si>
    <t xml:space="preserve">100 sent</t>
  </si>
  <si>
    <t xml:space="preserve">A-List follow-up #2</t>
  </si>
  <si>
    <t xml:space="preserve">Demo conversations</t>
  </si>
  <si>
    <t xml:space="preserve">Week 4</t>
  </si>
  <si>
    <t xml:space="preserve">Send B-List batch 2 (100)</t>
  </si>
  <si>
    <t xml:space="preserve">200 total sent</t>
  </si>
  <si>
    <t xml:space="preserve">Demo calls, close deals</t>
  </si>
  <si>
    <t xml:space="preserve">1-2 pilots signed</t>
  </si>
  <si>
    <t xml:space="preserve">COMPETITOR INTELLIGENCE</t>
  </si>
  <si>
    <t xml:space="preserve">Competitor</t>
  </si>
  <si>
    <t xml:space="preserve">Price Range</t>
  </si>
  <si>
    <t xml:space="preserve">Target Market</t>
  </si>
  <si>
    <t xml:space="preserve">Weaknesses</t>
  </si>
  <si>
    <t xml:space="preserve">Our Advantage</t>
  </si>
  <si>
    <t xml:space="preserve">iWorQ</t>
  </si>
  <si>
    <t xml:space="preserve">$3,500-35,000/yr</t>
  </si>
  <si>
    <t xml:space="preserve">2,000-75,000 pop</t>
  </si>
  <si>
    <t xml:space="preserve">Mixed reviews, no GIS</t>
  </si>
  <si>
    <t xml:space="preserve">Half price, GIS built-in</t>
  </si>
  <si>
    <t xml:space="preserve">Cloudpermit</t>
  </si>
  <si>
    <t xml:space="preserve">$10,000-25,000/yr</t>
  </si>
  <si>
    <t xml:space="preserve">Any size</t>
  </si>
  <si>
    <t xml:space="preserve">Canadian, implementation issues</t>
  </si>
  <si>
    <t xml:space="preserve">US-focused, faster setup</t>
  </si>
  <si>
    <t xml:space="preserve">OpenGov</t>
  </si>
  <si>
    <t xml:space="preserve">$40,000-80,000/yr</t>
  </si>
  <si>
    <t xml:space="preserve">5,000-100,000 pop</t>
  </si>
  <si>
    <t xml:space="preserve">Expensive, enterprise sales</t>
  </si>
  <si>
    <t xml:space="preserve">10x cheaper, same features</t>
  </si>
  <si>
    <t xml:space="preserve">GovPilot</t>
  </si>
  <si>
    <t xml:space="preserve">$5,000-50,000/yr</t>
  </si>
  <si>
    <t xml:space="preserve">5,000-50,000 pop</t>
  </si>
  <si>
    <t xml:space="preserve">Complex, feature bloat</t>
  </si>
  <si>
    <t xml:space="preserve">Simple, focused</t>
  </si>
  <si>
    <t xml:space="preserve">ClearForms</t>
  </si>
  <si>
    <t xml:space="preserve">Unknown (low)</t>
  </si>
  <si>
    <t xml:space="preserve">500-4M pop</t>
  </si>
  <si>
    <t xml:space="preserve">Forms tool, not permit system</t>
  </si>
  <si>
    <t xml:space="preserve">Full workflow</t>
  </si>
  <si>
    <t xml:space="preserve">BasicGov</t>
  </si>
  <si>
    <t xml:space="preserve">$1,500/seat/yr</t>
  </si>
  <si>
    <t xml:space="preserve">Per-seat pricing adds up</t>
  </si>
  <si>
    <t xml:space="preserve">Unlimited users</t>
  </si>
  <si>
    <t xml:space="preserve">Accela</t>
  </si>
  <si>
    <t xml:space="preserve">$100,000-500,000+/yr</t>
  </si>
  <si>
    <t xml:space="preserve">Large cities</t>
  </si>
  <si>
    <t xml:space="preserve">Enterprise only</t>
  </si>
  <si>
    <t xml:space="preserve">We don't compete here</t>
  </si>
  <si>
    <t xml:space="preserve">Tyler/EnerGov</t>
  </si>
  <si>
    <t xml:space="preserve">$75,000+/yr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</si>
</sst>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22C55E"/>
      <name val="Cambria"/>
      <family val="0"/>
      <charset val="1"/>
    </font>
    <font>
      <b val="true"/>
      <sz val="16"/>
      <color rgb="FF22C55E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2C55E"/>
        <bgColor rgb="FF33CCCC"/>
      </patternFill>
    </fill>
    <fill>
      <patternFill patternType="solid">
        <fgColor rgb="FF3B82F6"/>
        <bgColor rgb="FF0066CC"/>
      </patternFill>
    </fill>
    <fill>
      <patternFill patternType="solid">
        <fgColor rgb="FFEF444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EF4444"/>
      <rgbColor rgb="FF666699"/>
      <rgbColor rgb="FF969696"/>
      <rgbColor rgb="FF003366"/>
      <rgbColor rgb="FF22C5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30"/>
    <col collapsed="false" customWidth="true" hidden="false" outlineLevel="0" max="9" min="9" style="0" width="15"/>
    <col collapsed="false" customWidth="true" hidden="false" outlineLevel="0" max="10" min="10" style="0" width="35"/>
    <col collapsed="false" customWidth="true" hidden="false" outlineLevel="0" max="11" min="11" style="0" width="12"/>
    <col collapsed="false" customWidth="true" hidden="false" outlineLevel="0" max="12" min="12" style="0" width="25"/>
    <col collapsed="false" customWidth="true" hidden="false" outlineLevel="0" max="13" min="13" style="0" width="40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40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n">
        <v>1919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/>
      <c r="P2" s="2"/>
      <c r="Q2" s="2"/>
      <c r="R2" s="2"/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31</v>
      </c>
      <c r="D3" s="2" t="n">
        <v>2288</v>
      </c>
      <c r="E3" s="2" t="s">
        <v>21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30</v>
      </c>
      <c r="O3" s="2"/>
      <c r="P3" s="2"/>
      <c r="Q3" s="2"/>
      <c r="R3" s="2"/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40</v>
      </c>
      <c r="D4" s="2" t="n">
        <v>11872</v>
      </c>
      <c r="E4" s="2" t="s">
        <v>21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30</v>
      </c>
      <c r="O4" s="2"/>
      <c r="P4" s="2"/>
      <c r="Q4" s="2"/>
      <c r="R4" s="2"/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49</v>
      </c>
      <c r="D5" s="2" t="n">
        <v>8780</v>
      </c>
      <c r="E5" s="2" t="s">
        <v>50</v>
      </c>
      <c r="F5" s="2" t="s">
        <v>23</v>
      </c>
      <c r="G5" s="2" t="s">
        <v>23</v>
      </c>
      <c r="H5" s="2" t="s">
        <v>51</v>
      </c>
      <c r="I5" s="2" t="s">
        <v>52</v>
      </c>
      <c r="J5" s="2" t="s">
        <v>53</v>
      </c>
      <c r="K5" s="2" t="s">
        <v>46</v>
      </c>
      <c r="L5" s="2" t="s">
        <v>54</v>
      </c>
      <c r="M5" s="2" t="s">
        <v>55</v>
      </c>
      <c r="N5" s="2" t="s">
        <v>30</v>
      </c>
      <c r="O5" s="2"/>
      <c r="P5" s="2"/>
      <c r="Q5" s="2"/>
      <c r="R5" s="2"/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56</v>
      </c>
      <c r="D6" s="2" t="n">
        <v>1611</v>
      </c>
      <c r="E6" s="2" t="s">
        <v>57</v>
      </c>
      <c r="F6" s="2" t="s">
        <v>23</v>
      </c>
      <c r="G6" s="2" t="s">
        <v>58</v>
      </c>
      <c r="H6" s="2" t="s">
        <v>59</v>
      </c>
      <c r="I6" s="2" t="s">
        <v>60</v>
      </c>
      <c r="J6" s="2"/>
      <c r="K6" s="2" t="s">
        <v>37</v>
      </c>
      <c r="L6" s="2" t="s">
        <v>61</v>
      </c>
      <c r="M6" s="2" t="s">
        <v>62</v>
      </c>
      <c r="N6" s="2" t="s">
        <v>30</v>
      </c>
      <c r="O6" s="2"/>
      <c r="P6" s="2"/>
      <c r="Q6" s="2"/>
      <c r="R6" s="2"/>
    </row>
    <row r="7" customFormat="false" ht="15" hidden="false" customHeight="false" outlineLevel="0" collapsed="false">
      <c r="A7" s="2" t="s">
        <v>18</v>
      </c>
      <c r="B7" s="2" t="s">
        <v>19</v>
      </c>
      <c r="C7" s="2" t="s">
        <v>63</v>
      </c>
      <c r="D7" s="2" t="n">
        <v>1967</v>
      </c>
      <c r="E7" s="2" t="s">
        <v>64</v>
      </c>
      <c r="F7" s="2" t="s">
        <v>23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37</v>
      </c>
      <c r="L7" s="2" t="s">
        <v>69</v>
      </c>
      <c r="M7" s="2" t="s">
        <v>70</v>
      </c>
      <c r="N7" s="2" t="s">
        <v>30</v>
      </c>
      <c r="O7" s="2"/>
      <c r="P7" s="2"/>
      <c r="Q7" s="2"/>
      <c r="R7" s="2"/>
    </row>
    <row r="8" customFormat="false" ht="15" hidden="false" customHeight="false" outlineLevel="0" collapsed="false">
      <c r="A8" s="2" t="s">
        <v>18</v>
      </c>
      <c r="B8" s="2" t="s">
        <v>19</v>
      </c>
      <c r="C8" s="2" t="s">
        <v>71</v>
      </c>
      <c r="D8" s="2" t="n">
        <v>4085</v>
      </c>
      <c r="E8" s="2" t="s">
        <v>72</v>
      </c>
      <c r="F8" s="2" t="s">
        <v>41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46</v>
      </c>
      <c r="L8" s="2" t="s">
        <v>77</v>
      </c>
      <c r="M8" s="2" t="s">
        <v>78</v>
      </c>
      <c r="N8" s="2" t="s">
        <v>30</v>
      </c>
      <c r="O8" s="2"/>
      <c r="P8" s="2"/>
      <c r="Q8" s="2"/>
      <c r="R8" s="2"/>
    </row>
    <row r="9" customFormat="false" ht="15" hidden="false" customHeight="false" outlineLevel="0" collapsed="false">
      <c r="A9" s="2" t="s">
        <v>18</v>
      </c>
      <c r="B9" s="2" t="s">
        <v>19</v>
      </c>
      <c r="C9" s="2" t="s">
        <v>79</v>
      </c>
      <c r="D9" s="2" t="n">
        <v>2502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37</v>
      </c>
      <c r="L9" s="2" t="s">
        <v>86</v>
      </c>
      <c r="M9" s="2" t="s">
        <v>87</v>
      </c>
      <c r="N9" s="2" t="s">
        <v>30</v>
      </c>
      <c r="O9" s="2"/>
      <c r="P9" s="2"/>
      <c r="Q9" s="2"/>
      <c r="R9" s="2"/>
    </row>
    <row r="10" customFormat="false" ht="15" hidden="false" customHeight="false" outlineLevel="0" collapsed="false">
      <c r="A10" s="2" t="s">
        <v>18</v>
      </c>
      <c r="B10" s="2" t="s">
        <v>19</v>
      </c>
      <c r="C10" s="2" t="s">
        <v>88</v>
      </c>
      <c r="D10" s="2" t="n">
        <v>2003</v>
      </c>
      <c r="E10" s="2" t="s">
        <v>89</v>
      </c>
      <c r="F10" s="2" t="s">
        <v>23</v>
      </c>
      <c r="G10" s="2" t="s">
        <v>65</v>
      </c>
      <c r="H10" s="2" t="s">
        <v>90</v>
      </c>
      <c r="I10" s="2" t="s">
        <v>91</v>
      </c>
      <c r="J10" s="2"/>
      <c r="K10" s="2" t="s">
        <v>37</v>
      </c>
      <c r="L10" s="2" t="s">
        <v>92</v>
      </c>
      <c r="M10" s="2" t="s">
        <v>93</v>
      </c>
      <c r="N10" s="2" t="s">
        <v>30</v>
      </c>
      <c r="O10" s="2"/>
      <c r="P10" s="2"/>
      <c r="Q10" s="2"/>
      <c r="R10" s="2"/>
    </row>
    <row r="11" customFormat="false" ht="15" hidden="false" customHeight="false" outlineLevel="0" collapsed="false">
      <c r="A11" s="2" t="s">
        <v>18</v>
      </c>
      <c r="B11" s="2" t="s">
        <v>19</v>
      </c>
      <c r="C11" s="2" t="s">
        <v>94</v>
      </c>
      <c r="D11" s="2" t="n">
        <v>777</v>
      </c>
      <c r="E11" s="2" t="s">
        <v>95</v>
      </c>
      <c r="F11" s="2" t="s">
        <v>96</v>
      </c>
      <c r="G11" s="2" t="s">
        <v>65</v>
      </c>
      <c r="H11" s="2" t="s">
        <v>97</v>
      </c>
      <c r="I11" s="2" t="s">
        <v>98</v>
      </c>
      <c r="J11" s="2" t="s">
        <v>99</v>
      </c>
      <c r="K11" s="2" t="s">
        <v>37</v>
      </c>
      <c r="L11" s="2" t="s">
        <v>100</v>
      </c>
      <c r="M11" s="2" t="s">
        <v>101</v>
      </c>
      <c r="N11" s="2" t="s">
        <v>30</v>
      </c>
      <c r="O11" s="2"/>
      <c r="P11" s="2"/>
      <c r="Q11" s="2"/>
      <c r="R11" s="2"/>
    </row>
    <row r="12" customFormat="false" ht="15" hidden="false" customHeight="false" outlineLevel="0" collapsed="false">
      <c r="A12" s="2" t="s">
        <v>18</v>
      </c>
      <c r="B12" s="2" t="s">
        <v>102</v>
      </c>
      <c r="C12" s="2" t="s">
        <v>103</v>
      </c>
      <c r="D12" s="2" t="n">
        <v>1550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27</v>
      </c>
      <c r="L12" s="2" t="s">
        <v>110</v>
      </c>
      <c r="M12" s="2" t="s">
        <v>111</v>
      </c>
      <c r="N12" s="2" t="s">
        <v>30</v>
      </c>
      <c r="O12" s="2"/>
      <c r="P12" s="2"/>
      <c r="Q12" s="2"/>
      <c r="R12" s="2"/>
    </row>
    <row r="13" customFormat="false" ht="15" hidden="false" customHeight="false" outlineLevel="0" collapsed="false">
      <c r="A13" s="2" t="s">
        <v>18</v>
      </c>
      <c r="B13" s="2" t="s">
        <v>102</v>
      </c>
      <c r="C13" s="2" t="s">
        <v>112</v>
      </c>
      <c r="D13" s="2" t="n">
        <v>1575</v>
      </c>
      <c r="E13" s="2" t="s">
        <v>113</v>
      </c>
      <c r="F13" s="2" t="s">
        <v>105</v>
      </c>
      <c r="G13" s="2" t="s">
        <v>106</v>
      </c>
      <c r="H13" s="2" t="s">
        <v>114</v>
      </c>
      <c r="I13" s="2" t="s">
        <v>115</v>
      </c>
      <c r="J13" s="2" t="s">
        <v>116</v>
      </c>
      <c r="K13" s="2" t="s">
        <v>37</v>
      </c>
      <c r="L13" s="2" t="s">
        <v>117</v>
      </c>
      <c r="M13" s="2" t="s">
        <v>118</v>
      </c>
      <c r="N13" s="2" t="s">
        <v>30</v>
      </c>
      <c r="O13" s="2"/>
      <c r="P13" s="2"/>
      <c r="Q13" s="2"/>
      <c r="R13" s="2"/>
    </row>
    <row r="14" customFormat="false" ht="15" hidden="false" customHeight="false" outlineLevel="0" collapsed="false">
      <c r="A14" s="2" t="s">
        <v>18</v>
      </c>
      <c r="B14" s="2" t="s">
        <v>102</v>
      </c>
      <c r="C14" s="2" t="s">
        <v>119</v>
      </c>
      <c r="D14" s="2" t="n">
        <v>1764</v>
      </c>
      <c r="E14" s="2" t="s">
        <v>113</v>
      </c>
      <c r="F14" s="2" t="s">
        <v>120</v>
      </c>
      <c r="G14" s="2" t="s">
        <v>106</v>
      </c>
      <c r="H14" s="2" t="s">
        <v>121</v>
      </c>
      <c r="I14" s="2" t="s">
        <v>122</v>
      </c>
      <c r="J14" s="2" t="s">
        <v>123</v>
      </c>
      <c r="K14" s="2" t="s">
        <v>37</v>
      </c>
      <c r="L14" s="2" t="s">
        <v>124</v>
      </c>
      <c r="M14" s="2" t="s">
        <v>125</v>
      </c>
      <c r="N14" s="2" t="s">
        <v>30</v>
      </c>
      <c r="O14" s="2"/>
      <c r="P14" s="2"/>
      <c r="Q14" s="2"/>
      <c r="R14" s="2"/>
    </row>
    <row r="15" customFormat="false" ht="15" hidden="false" customHeight="false" outlineLevel="0" collapsed="false">
      <c r="A15" s="2" t="s">
        <v>18</v>
      </c>
      <c r="B15" s="2" t="s">
        <v>102</v>
      </c>
      <c r="C15" s="2" t="s">
        <v>126</v>
      </c>
      <c r="D15" s="2" t="n">
        <v>4830</v>
      </c>
      <c r="E15" s="2" t="s">
        <v>113</v>
      </c>
      <c r="F15" s="2" t="s">
        <v>127</v>
      </c>
      <c r="G15" s="2" t="s">
        <v>106</v>
      </c>
      <c r="H15" s="2" t="s">
        <v>128</v>
      </c>
      <c r="I15" s="2" t="s">
        <v>129</v>
      </c>
      <c r="J15" s="2" t="s">
        <v>130</v>
      </c>
      <c r="K15" s="2" t="s">
        <v>37</v>
      </c>
      <c r="L15" s="2" t="s">
        <v>131</v>
      </c>
      <c r="M15" s="2" t="s">
        <v>132</v>
      </c>
      <c r="N15" s="2" t="s">
        <v>30</v>
      </c>
      <c r="O15" s="2"/>
      <c r="P15" s="2"/>
      <c r="Q15" s="2"/>
      <c r="R15" s="2"/>
    </row>
    <row r="16" customFormat="false" ht="15" hidden="false" customHeight="false" outlineLevel="0" collapsed="false">
      <c r="A16" s="2" t="s">
        <v>18</v>
      </c>
      <c r="B16" s="2" t="s">
        <v>102</v>
      </c>
      <c r="C16" s="2" t="s">
        <v>133</v>
      </c>
      <c r="D16" s="2" t="n">
        <v>350</v>
      </c>
      <c r="E16" s="2" t="s">
        <v>134</v>
      </c>
      <c r="F16" s="2" t="s">
        <v>135</v>
      </c>
      <c r="G16" s="2" t="s">
        <v>106</v>
      </c>
      <c r="H16" s="2" t="s">
        <v>136</v>
      </c>
      <c r="I16" s="2" t="s">
        <v>137</v>
      </c>
      <c r="J16" s="2" t="s">
        <v>138</v>
      </c>
      <c r="K16" s="2" t="s">
        <v>37</v>
      </c>
      <c r="L16" s="2" t="s">
        <v>139</v>
      </c>
      <c r="M16" s="2" t="s">
        <v>140</v>
      </c>
      <c r="N16" s="2" t="s">
        <v>30</v>
      </c>
      <c r="O16" s="2"/>
      <c r="P16" s="2"/>
      <c r="Q16" s="2"/>
      <c r="R16" s="2"/>
    </row>
    <row r="17" customFormat="false" ht="15" hidden="false" customHeight="false" outlineLevel="0" collapsed="false">
      <c r="A17" s="2" t="s">
        <v>18</v>
      </c>
      <c r="B17" s="2" t="s">
        <v>102</v>
      </c>
      <c r="C17" s="2" t="s">
        <v>141</v>
      </c>
      <c r="D17" s="2" t="n">
        <v>6036</v>
      </c>
      <c r="E17" s="2" t="s">
        <v>142</v>
      </c>
      <c r="F17" s="2" t="s">
        <v>143</v>
      </c>
      <c r="G17" s="2" t="s">
        <v>106</v>
      </c>
      <c r="H17" s="2" t="s">
        <v>144</v>
      </c>
      <c r="I17" s="2" t="s">
        <v>145</v>
      </c>
      <c r="J17" s="2" t="s">
        <v>146</v>
      </c>
      <c r="K17" s="2" t="s">
        <v>46</v>
      </c>
      <c r="L17" s="2" t="s">
        <v>147</v>
      </c>
      <c r="M17" s="2" t="s">
        <v>148</v>
      </c>
      <c r="N17" s="2" t="s">
        <v>30</v>
      </c>
      <c r="O17" s="2"/>
      <c r="P17" s="2"/>
      <c r="Q17" s="2"/>
      <c r="R17" s="2"/>
    </row>
    <row r="18" customFormat="false" ht="15" hidden="false" customHeight="false" outlineLevel="0" collapsed="false">
      <c r="A18" s="2" t="s">
        <v>18</v>
      </c>
      <c r="B18" s="2" t="s">
        <v>102</v>
      </c>
      <c r="C18" s="2" t="s">
        <v>149</v>
      </c>
      <c r="D18" s="2" t="n">
        <v>3200</v>
      </c>
      <c r="E18" s="2" t="s">
        <v>150</v>
      </c>
      <c r="F18" s="2" t="s">
        <v>106</v>
      </c>
      <c r="G18" s="2" t="s">
        <v>151</v>
      </c>
      <c r="H18" s="2" t="s">
        <v>152</v>
      </c>
      <c r="I18" s="2" t="s">
        <v>153</v>
      </c>
      <c r="J18" s="2" t="s">
        <v>37</v>
      </c>
      <c r="K18" s="2" t="s">
        <v>154</v>
      </c>
      <c r="L18" s="2" t="s">
        <v>155</v>
      </c>
      <c r="M18" s="2"/>
      <c r="N18" s="2" t="s">
        <v>30</v>
      </c>
      <c r="O18" s="2"/>
      <c r="P18" s="2"/>
      <c r="Q18" s="2"/>
      <c r="R18" s="2"/>
    </row>
    <row r="19" customFormat="false" ht="15" hidden="false" customHeight="false" outlineLevel="0" collapsed="false">
      <c r="A19" s="2" t="s">
        <v>18</v>
      </c>
      <c r="B19" s="2" t="s">
        <v>102</v>
      </c>
      <c r="C19" s="2" t="s">
        <v>156</v>
      </c>
      <c r="D19" s="2" t="n">
        <v>4100</v>
      </c>
      <c r="E19" s="2" t="s">
        <v>150</v>
      </c>
      <c r="F19" s="2" t="s">
        <v>106</v>
      </c>
      <c r="G19" s="2" t="s">
        <v>157</v>
      </c>
      <c r="H19" s="2" t="s">
        <v>158</v>
      </c>
      <c r="I19" s="2" t="s">
        <v>159</v>
      </c>
      <c r="J19" s="2" t="s">
        <v>37</v>
      </c>
      <c r="K19" s="2" t="s">
        <v>160</v>
      </c>
      <c r="L19" s="2" t="s">
        <v>161</v>
      </c>
      <c r="M19" s="2"/>
      <c r="N19" s="2" t="s">
        <v>30</v>
      </c>
      <c r="O19" s="2"/>
      <c r="P19" s="2"/>
      <c r="Q19" s="2"/>
      <c r="R19" s="2"/>
    </row>
    <row r="20" customFormat="false" ht="15" hidden="false" customHeight="false" outlineLevel="0" collapsed="false">
      <c r="A20" s="2" t="s">
        <v>18</v>
      </c>
      <c r="B20" s="2" t="s">
        <v>162</v>
      </c>
      <c r="C20" s="2" t="s">
        <v>163</v>
      </c>
      <c r="D20" s="2" t="n">
        <v>971</v>
      </c>
      <c r="E20" s="2" t="s">
        <v>164</v>
      </c>
      <c r="F20" s="2" t="s">
        <v>96</v>
      </c>
      <c r="G20" s="2" t="s">
        <v>65</v>
      </c>
      <c r="H20" s="2" t="s">
        <v>165</v>
      </c>
      <c r="I20" s="2" t="s">
        <v>166</v>
      </c>
      <c r="J20" s="2"/>
      <c r="K20" s="2" t="s">
        <v>37</v>
      </c>
      <c r="L20" s="2" t="s">
        <v>167</v>
      </c>
      <c r="M20" s="2" t="s">
        <v>168</v>
      </c>
      <c r="N20" s="2" t="s">
        <v>30</v>
      </c>
      <c r="O20" s="2"/>
      <c r="P20" s="2"/>
      <c r="Q20" s="2"/>
      <c r="R20" s="2"/>
    </row>
    <row r="21" customFormat="false" ht="15" hidden="false" customHeight="false" outlineLevel="0" collapsed="false">
      <c r="A21" s="2" t="s">
        <v>18</v>
      </c>
      <c r="B21" s="2" t="s">
        <v>162</v>
      </c>
      <c r="C21" s="2" t="s">
        <v>169</v>
      </c>
      <c r="D21" s="2" t="n">
        <v>1690</v>
      </c>
      <c r="E21" s="2" t="s">
        <v>80</v>
      </c>
      <c r="F21" s="2" t="s">
        <v>96</v>
      </c>
      <c r="G21" s="2" t="s">
        <v>65</v>
      </c>
      <c r="H21" s="2" t="s">
        <v>170</v>
      </c>
      <c r="I21" s="2" t="s">
        <v>171</v>
      </c>
      <c r="J21" s="2" t="s">
        <v>172</v>
      </c>
      <c r="K21" s="2" t="s">
        <v>37</v>
      </c>
      <c r="L21" s="2" t="s">
        <v>173</v>
      </c>
      <c r="M21" s="2" t="s">
        <v>174</v>
      </c>
      <c r="N21" s="2" t="s">
        <v>30</v>
      </c>
      <c r="O21" s="2"/>
      <c r="P21" s="2"/>
      <c r="Q21" s="2"/>
      <c r="R21" s="2"/>
    </row>
    <row r="22" customFormat="false" ht="15" hidden="false" customHeight="false" outlineLevel="0" collapsed="false">
      <c r="A22" s="2" t="s">
        <v>18</v>
      </c>
      <c r="B22" s="2" t="s">
        <v>162</v>
      </c>
      <c r="C22" s="2" t="s">
        <v>175</v>
      </c>
      <c r="D22" s="2" t="n">
        <v>1871</v>
      </c>
      <c r="E22" s="2" t="s">
        <v>176</v>
      </c>
      <c r="F22" s="2" t="s">
        <v>96</v>
      </c>
      <c r="G22" s="2" t="s">
        <v>65</v>
      </c>
      <c r="H22" s="2" t="s">
        <v>177</v>
      </c>
      <c r="I22" s="2" t="s">
        <v>178</v>
      </c>
      <c r="J22" s="2" t="s">
        <v>179</v>
      </c>
      <c r="K22" s="2" t="s">
        <v>37</v>
      </c>
      <c r="L22" s="2" t="s">
        <v>180</v>
      </c>
      <c r="M22" s="2" t="s">
        <v>181</v>
      </c>
      <c r="N22" s="2" t="s">
        <v>30</v>
      </c>
      <c r="O22" s="2"/>
      <c r="P22" s="2"/>
      <c r="Q22" s="2"/>
      <c r="R22" s="2"/>
    </row>
    <row r="23" customFormat="false" ht="15" hidden="false" customHeight="false" outlineLevel="0" collapsed="false">
      <c r="A23" s="2" t="s">
        <v>18</v>
      </c>
      <c r="B23" s="2" t="s">
        <v>162</v>
      </c>
      <c r="C23" s="2" t="s">
        <v>182</v>
      </c>
      <c r="D23" s="2" t="n">
        <v>7533</v>
      </c>
      <c r="E23" s="2" t="s">
        <v>164</v>
      </c>
      <c r="F23" s="2" t="s">
        <v>41</v>
      </c>
      <c r="G23" s="2" t="s">
        <v>73</v>
      </c>
      <c r="H23" s="2" t="s">
        <v>183</v>
      </c>
      <c r="I23" s="2" t="s">
        <v>184</v>
      </c>
      <c r="J23" s="2" t="s">
        <v>185</v>
      </c>
      <c r="K23" s="2" t="s">
        <v>46</v>
      </c>
      <c r="L23" s="2" t="s">
        <v>186</v>
      </c>
      <c r="M23" s="2" t="s">
        <v>187</v>
      </c>
      <c r="N23" s="2" t="s">
        <v>30</v>
      </c>
      <c r="O23" s="2"/>
      <c r="P23" s="2"/>
      <c r="Q23" s="2"/>
      <c r="R23" s="2"/>
    </row>
    <row r="24" customFormat="false" ht="15" hidden="false" customHeight="false" outlineLevel="0" collapsed="false">
      <c r="A24" s="2" t="s">
        <v>18</v>
      </c>
      <c r="B24" s="2" t="s">
        <v>162</v>
      </c>
      <c r="C24" s="2" t="s">
        <v>188</v>
      </c>
      <c r="D24" s="2" t="n">
        <v>2897</v>
      </c>
      <c r="E24" s="2" t="s">
        <v>189</v>
      </c>
      <c r="F24" s="2" t="s">
        <v>96</v>
      </c>
      <c r="G24" s="2" t="s">
        <v>65</v>
      </c>
      <c r="H24" s="2" t="s">
        <v>190</v>
      </c>
      <c r="I24" s="2" t="s">
        <v>191</v>
      </c>
      <c r="J24" s="2"/>
      <c r="K24" s="2" t="s">
        <v>37</v>
      </c>
      <c r="L24" s="2" t="s">
        <v>192</v>
      </c>
      <c r="M24" s="2" t="s">
        <v>193</v>
      </c>
      <c r="N24" s="2" t="s">
        <v>30</v>
      </c>
      <c r="O24" s="2"/>
      <c r="P24" s="2"/>
      <c r="Q24" s="2"/>
      <c r="R24" s="2"/>
    </row>
    <row r="25" customFormat="false" ht="15" hidden="false" customHeight="false" outlineLevel="0" collapsed="false">
      <c r="A25" s="2" t="s">
        <v>18</v>
      </c>
      <c r="B25" s="2" t="s">
        <v>194</v>
      </c>
      <c r="C25" s="2" t="s">
        <v>195</v>
      </c>
      <c r="D25" s="2" t="n">
        <v>485</v>
      </c>
      <c r="E25" s="2" t="s">
        <v>196</v>
      </c>
      <c r="F25" s="2" t="s">
        <v>23</v>
      </c>
      <c r="G25" s="2" t="s">
        <v>65</v>
      </c>
      <c r="H25" s="2" t="s">
        <v>197</v>
      </c>
      <c r="I25" s="2" t="s">
        <v>198</v>
      </c>
      <c r="J25" s="2" t="s">
        <v>199</v>
      </c>
      <c r="K25" s="2" t="s">
        <v>37</v>
      </c>
      <c r="L25" s="2" t="s">
        <v>200</v>
      </c>
      <c r="M25" s="2" t="s">
        <v>201</v>
      </c>
      <c r="N25" s="2" t="s">
        <v>30</v>
      </c>
      <c r="O25" s="2"/>
      <c r="P25" s="2"/>
      <c r="Q25" s="2"/>
      <c r="R25" s="2"/>
    </row>
    <row r="26" customFormat="false" ht="15" hidden="false" customHeight="false" outlineLevel="0" collapsed="false">
      <c r="A26" s="2" t="s">
        <v>18</v>
      </c>
      <c r="B26" s="2" t="s">
        <v>194</v>
      </c>
      <c r="C26" s="2" t="s">
        <v>202</v>
      </c>
      <c r="D26" s="2" t="n">
        <v>1920</v>
      </c>
      <c r="E26" s="2" t="s">
        <v>203</v>
      </c>
      <c r="F26" s="2" t="s">
        <v>23</v>
      </c>
      <c r="G26" s="2" t="s">
        <v>65</v>
      </c>
      <c r="H26" s="2" t="s">
        <v>204</v>
      </c>
      <c r="I26" s="2" t="s">
        <v>205</v>
      </c>
      <c r="J26" s="2" t="s">
        <v>206</v>
      </c>
      <c r="K26" s="2" t="s">
        <v>46</v>
      </c>
      <c r="L26" s="2" t="s">
        <v>207</v>
      </c>
      <c r="M26" s="2" t="s">
        <v>208</v>
      </c>
      <c r="N26" s="2" t="s">
        <v>30</v>
      </c>
      <c r="O26" s="2"/>
      <c r="P26" s="2"/>
      <c r="Q26" s="2"/>
      <c r="R26" s="2"/>
    </row>
    <row r="27" customFormat="false" ht="15" hidden="false" customHeight="false" outlineLevel="0" collapsed="false">
      <c r="A27" s="2" t="s">
        <v>18</v>
      </c>
      <c r="B27" s="2" t="s">
        <v>194</v>
      </c>
      <c r="C27" s="2" t="s">
        <v>209</v>
      </c>
      <c r="D27" s="2" t="n">
        <v>2260</v>
      </c>
      <c r="E27" s="2" t="s">
        <v>203</v>
      </c>
      <c r="F27" s="2" t="s">
        <v>23</v>
      </c>
      <c r="G27" s="2" t="s">
        <v>65</v>
      </c>
      <c r="H27" s="2" t="s">
        <v>210</v>
      </c>
      <c r="I27" s="2" t="s">
        <v>211</v>
      </c>
      <c r="J27" s="2" t="s">
        <v>212</v>
      </c>
      <c r="K27" s="2" t="s">
        <v>37</v>
      </c>
      <c r="L27" s="2" t="s">
        <v>213</v>
      </c>
      <c r="M27" s="2" t="s">
        <v>214</v>
      </c>
      <c r="N27" s="2" t="s">
        <v>30</v>
      </c>
      <c r="O27" s="2"/>
      <c r="P27" s="2"/>
      <c r="Q27" s="2"/>
      <c r="R27" s="2"/>
    </row>
    <row r="28" customFormat="false" ht="15" hidden="false" customHeight="false" outlineLevel="0" collapsed="false">
      <c r="A28" s="2" t="s">
        <v>18</v>
      </c>
      <c r="B28" s="2" t="s">
        <v>194</v>
      </c>
      <c r="C28" s="2" t="s">
        <v>215</v>
      </c>
      <c r="D28" s="2" t="n">
        <v>3112</v>
      </c>
      <c r="E28" s="2" t="s">
        <v>216</v>
      </c>
      <c r="F28" s="2" t="s">
        <v>23</v>
      </c>
      <c r="G28" s="2" t="s">
        <v>65</v>
      </c>
      <c r="H28" s="2" t="s">
        <v>217</v>
      </c>
      <c r="I28" s="2" t="s">
        <v>218</v>
      </c>
      <c r="J28" s="2"/>
      <c r="K28" s="2" t="s">
        <v>37</v>
      </c>
      <c r="L28" s="2" t="s">
        <v>219</v>
      </c>
      <c r="M28" s="2" t="s">
        <v>220</v>
      </c>
      <c r="N28" s="2" t="s">
        <v>30</v>
      </c>
      <c r="O28" s="2"/>
      <c r="P28" s="2"/>
      <c r="Q28" s="2"/>
      <c r="R28" s="2"/>
    </row>
    <row r="29" customFormat="false" ht="15" hidden="false" customHeight="false" outlineLevel="0" collapsed="false">
      <c r="A29" s="2" t="s">
        <v>18</v>
      </c>
      <c r="B29" s="2" t="s">
        <v>194</v>
      </c>
      <c r="C29" s="2" t="s">
        <v>221</v>
      </c>
      <c r="D29" s="2" t="n">
        <v>3286</v>
      </c>
      <c r="E29" s="2" t="s">
        <v>222</v>
      </c>
      <c r="F29" s="2" t="s">
        <v>223</v>
      </c>
      <c r="G29" s="2" t="s">
        <v>73</v>
      </c>
      <c r="H29" s="2" t="s">
        <v>224</v>
      </c>
      <c r="I29" s="2" t="s">
        <v>225</v>
      </c>
      <c r="J29" s="2" t="s">
        <v>226</v>
      </c>
      <c r="K29" s="2" t="s">
        <v>46</v>
      </c>
      <c r="L29" s="2" t="s">
        <v>227</v>
      </c>
      <c r="M29" s="2" t="s">
        <v>228</v>
      </c>
      <c r="N29" s="2" t="s">
        <v>30</v>
      </c>
      <c r="O29" s="2"/>
      <c r="P29" s="2"/>
      <c r="Q29" s="2"/>
      <c r="R29" s="2"/>
    </row>
    <row r="30" customFormat="false" ht="15" hidden="false" customHeight="false" outlineLevel="0" collapsed="false">
      <c r="A30" s="2" t="s">
        <v>18</v>
      </c>
      <c r="B30" s="2" t="s">
        <v>229</v>
      </c>
      <c r="C30" s="2" t="s">
        <v>230</v>
      </c>
      <c r="D30" s="2" t="n">
        <v>1717</v>
      </c>
      <c r="E30" s="2" t="s">
        <v>231</v>
      </c>
      <c r="F30" s="2" t="s">
        <v>23</v>
      </c>
      <c r="G30" s="2" t="s">
        <v>65</v>
      </c>
      <c r="H30" s="2" t="s">
        <v>232</v>
      </c>
      <c r="I30" s="2" t="s">
        <v>233</v>
      </c>
      <c r="J30" s="2" t="s">
        <v>234</v>
      </c>
      <c r="K30" s="2" t="s">
        <v>37</v>
      </c>
      <c r="L30" s="2" t="s">
        <v>235</v>
      </c>
      <c r="M30" s="2" t="s">
        <v>236</v>
      </c>
      <c r="N30" s="2" t="s">
        <v>30</v>
      </c>
      <c r="O30" s="2"/>
      <c r="P30" s="2"/>
      <c r="Q30" s="2"/>
      <c r="R30" s="2"/>
    </row>
    <row r="31" customFormat="false" ht="15" hidden="false" customHeight="false" outlineLevel="0" collapsed="false">
      <c r="A31" s="2" t="s">
        <v>18</v>
      </c>
      <c r="B31" s="2" t="s">
        <v>229</v>
      </c>
      <c r="C31" s="2" t="s">
        <v>237</v>
      </c>
      <c r="D31" s="2" t="n">
        <v>632</v>
      </c>
      <c r="E31" s="2" t="s">
        <v>238</v>
      </c>
      <c r="F31" s="2" t="s">
        <v>96</v>
      </c>
      <c r="G31" s="2" t="s">
        <v>65</v>
      </c>
      <c r="H31" s="2" t="s">
        <v>239</v>
      </c>
      <c r="I31" s="2" t="s">
        <v>240</v>
      </c>
      <c r="J31" s="2"/>
      <c r="K31" s="2" t="s">
        <v>37</v>
      </c>
      <c r="L31" s="2" t="s">
        <v>241</v>
      </c>
      <c r="M31" s="2" t="s">
        <v>242</v>
      </c>
      <c r="N31" s="2" t="s">
        <v>30</v>
      </c>
      <c r="O31" s="2"/>
      <c r="P31" s="2"/>
      <c r="Q31" s="2"/>
      <c r="R31" s="2"/>
    </row>
    <row r="32" customFormat="false" ht="15" hidden="false" customHeight="false" outlineLevel="0" collapsed="false">
      <c r="A32" s="2" t="s">
        <v>18</v>
      </c>
      <c r="B32" s="2" t="s">
        <v>243</v>
      </c>
      <c r="C32" s="2" t="s">
        <v>244</v>
      </c>
      <c r="D32" s="2" t="n">
        <v>477</v>
      </c>
      <c r="E32" s="2" t="s">
        <v>245</v>
      </c>
      <c r="F32" s="2" t="s">
        <v>96</v>
      </c>
      <c r="G32" s="2" t="s">
        <v>65</v>
      </c>
      <c r="H32" s="2" t="s">
        <v>246</v>
      </c>
      <c r="I32" s="2" t="s">
        <v>247</v>
      </c>
      <c r="J32" s="2" t="s">
        <v>248</v>
      </c>
      <c r="K32" s="2" t="s">
        <v>37</v>
      </c>
      <c r="L32" s="2" t="s">
        <v>249</v>
      </c>
      <c r="M32" s="2" t="s">
        <v>250</v>
      </c>
      <c r="N32" s="2" t="s">
        <v>30</v>
      </c>
      <c r="O32" s="2"/>
      <c r="P32" s="2"/>
      <c r="Q32" s="2"/>
      <c r="R32" s="2"/>
    </row>
    <row r="33" customFormat="false" ht="15" hidden="false" customHeight="false" outlineLevel="0" collapsed="false">
      <c r="A33" s="2" t="s">
        <v>18</v>
      </c>
      <c r="B33" s="2" t="s">
        <v>243</v>
      </c>
      <c r="C33" s="2" t="s">
        <v>251</v>
      </c>
      <c r="D33" s="2" t="n">
        <v>1122</v>
      </c>
      <c r="E33" s="2" t="s">
        <v>252</v>
      </c>
      <c r="F33" s="2" t="s">
        <v>96</v>
      </c>
      <c r="G33" s="2" t="s">
        <v>65</v>
      </c>
      <c r="H33" s="2" t="s">
        <v>253</v>
      </c>
      <c r="I33" s="2" t="s">
        <v>254</v>
      </c>
      <c r="J33" s="2" t="s">
        <v>255</v>
      </c>
      <c r="K33" s="2" t="s">
        <v>37</v>
      </c>
      <c r="L33" s="2" t="s">
        <v>256</v>
      </c>
      <c r="M33" s="2" t="s">
        <v>257</v>
      </c>
      <c r="N33" s="2" t="s">
        <v>30</v>
      </c>
      <c r="O33" s="2"/>
      <c r="P33" s="2"/>
      <c r="Q33" s="2"/>
      <c r="R33" s="2"/>
    </row>
    <row r="34" customFormat="false" ht="15" hidden="false" customHeight="false" outlineLevel="0" collapsed="false">
      <c r="A34" s="2" t="s">
        <v>18</v>
      </c>
      <c r="B34" s="2" t="s">
        <v>258</v>
      </c>
      <c r="C34" s="2" t="s">
        <v>259</v>
      </c>
      <c r="D34" s="2" t="n">
        <v>1311</v>
      </c>
      <c r="E34" s="2" t="s">
        <v>260</v>
      </c>
      <c r="F34" s="2" t="s">
        <v>261</v>
      </c>
      <c r="G34" s="2" t="s">
        <v>262</v>
      </c>
      <c r="H34" s="2" t="s">
        <v>263</v>
      </c>
      <c r="I34" s="2" t="s">
        <v>264</v>
      </c>
      <c r="J34" s="2" t="s">
        <v>265</v>
      </c>
      <c r="K34" s="2" t="s">
        <v>37</v>
      </c>
      <c r="L34" s="2" t="s">
        <v>266</v>
      </c>
      <c r="M34" s="2" t="s">
        <v>267</v>
      </c>
      <c r="N34" s="2" t="s">
        <v>30</v>
      </c>
      <c r="O34" s="2"/>
      <c r="P34" s="2"/>
      <c r="Q34" s="2"/>
      <c r="R34" s="2"/>
    </row>
    <row r="35" customFormat="false" ht="15" hidden="false" customHeight="false" outlineLevel="0" collapsed="false">
      <c r="A35" s="2" t="s">
        <v>18</v>
      </c>
      <c r="B35" s="2" t="s">
        <v>258</v>
      </c>
      <c r="C35" s="2" t="s">
        <v>268</v>
      </c>
      <c r="D35" s="2" t="n">
        <v>948</v>
      </c>
      <c r="E35" s="2" t="s">
        <v>269</v>
      </c>
      <c r="F35" s="2" t="s">
        <v>262</v>
      </c>
      <c r="G35" s="2" t="s">
        <v>65</v>
      </c>
      <c r="H35" s="2" t="s">
        <v>270</v>
      </c>
      <c r="I35" s="2" t="s">
        <v>271</v>
      </c>
      <c r="J35" s="2" t="s">
        <v>272</v>
      </c>
      <c r="K35" s="2" t="s">
        <v>37</v>
      </c>
      <c r="L35" s="2" t="s">
        <v>273</v>
      </c>
      <c r="M35" s="2" t="s">
        <v>193</v>
      </c>
      <c r="N35" s="2" t="s">
        <v>30</v>
      </c>
      <c r="O35" s="2"/>
      <c r="P35" s="2"/>
      <c r="Q35" s="2"/>
      <c r="R35" s="2"/>
    </row>
    <row r="36" customFormat="false" ht="15" hidden="false" customHeight="false" outlineLevel="0" collapsed="false">
      <c r="A36" s="2" t="s">
        <v>18</v>
      </c>
      <c r="B36" s="2" t="s">
        <v>274</v>
      </c>
      <c r="C36" s="2" t="s">
        <v>275</v>
      </c>
      <c r="D36" s="2" t="n">
        <v>935</v>
      </c>
      <c r="E36" s="2" t="s">
        <v>276</v>
      </c>
      <c r="F36" s="2" t="s">
        <v>96</v>
      </c>
      <c r="G36" s="2" t="s">
        <v>65</v>
      </c>
      <c r="H36" s="2" t="s">
        <v>277</v>
      </c>
      <c r="I36" s="2" t="s">
        <v>278</v>
      </c>
      <c r="J36" s="2" t="s">
        <v>279</v>
      </c>
      <c r="K36" s="2" t="s">
        <v>37</v>
      </c>
      <c r="L36" s="2" t="s">
        <v>280</v>
      </c>
      <c r="M36" s="2" t="s">
        <v>281</v>
      </c>
      <c r="N36" s="2" t="s">
        <v>30</v>
      </c>
      <c r="O36" s="2"/>
      <c r="P36" s="2"/>
      <c r="Q36" s="2"/>
      <c r="R36" s="2"/>
    </row>
    <row r="37" customFormat="false" ht="15" hidden="false" customHeight="false" outlineLevel="0" collapsed="false">
      <c r="A37" s="2" t="s">
        <v>18</v>
      </c>
      <c r="B37" s="2" t="s">
        <v>282</v>
      </c>
      <c r="C37" s="2" t="s">
        <v>283</v>
      </c>
      <c r="D37" s="2" t="n">
        <v>455</v>
      </c>
      <c r="E37" s="2" t="s">
        <v>284</v>
      </c>
      <c r="F37" s="2" t="s">
        <v>96</v>
      </c>
      <c r="G37" s="2" t="s">
        <v>65</v>
      </c>
      <c r="H37" s="2" t="s">
        <v>285</v>
      </c>
      <c r="I37" s="2" t="s">
        <v>286</v>
      </c>
      <c r="J37" s="2" t="s">
        <v>287</v>
      </c>
      <c r="K37" s="2" t="s">
        <v>37</v>
      </c>
      <c r="L37" s="2" t="s">
        <v>200</v>
      </c>
      <c r="M37" s="2" t="s">
        <v>288</v>
      </c>
      <c r="N37" s="2" t="s">
        <v>30</v>
      </c>
      <c r="O37" s="2"/>
      <c r="P37" s="2"/>
      <c r="Q37" s="2"/>
      <c r="R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7" min="6" style="0" width="12"/>
    <col collapsed="false" customWidth="true" hidden="false" outlineLevel="0" max="10" min="8" style="0" width="8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289</v>
      </c>
      <c r="F1" s="3" t="s">
        <v>13</v>
      </c>
      <c r="G1" s="3" t="s">
        <v>290</v>
      </c>
      <c r="H1" s="3" t="s">
        <v>291</v>
      </c>
      <c r="I1" s="3" t="s">
        <v>292</v>
      </c>
      <c r="J1" s="3" t="s">
        <v>293</v>
      </c>
      <c r="K1" s="3" t="s">
        <v>17</v>
      </c>
    </row>
    <row r="2" customFormat="false" ht="15" hidden="false" customHeight="false" outlineLevel="0" collapsed="false">
      <c r="A2" s="0" t="s">
        <v>19</v>
      </c>
      <c r="B2" s="0" t="s">
        <v>294</v>
      </c>
      <c r="C2" s="0" t="n">
        <v>4810</v>
      </c>
      <c r="D2" s="0" t="s">
        <v>295</v>
      </c>
      <c r="E2" s="0" t="s">
        <v>296</v>
      </c>
      <c r="F2" s="0" t="s">
        <v>297</v>
      </c>
    </row>
    <row r="3" customFormat="false" ht="15" hidden="false" customHeight="false" outlineLevel="0" collapsed="false">
      <c r="A3" s="0" t="s">
        <v>19</v>
      </c>
      <c r="B3" s="0" t="s">
        <v>298</v>
      </c>
      <c r="C3" s="0" t="n">
        <v>3742</v>
      </c>
      <c r="D3" s="0" t="s">
        <v>299</v>
      </c>
      <c r="E3" s="0" t="s">
        <v>300</v>
      </c>
      <c r="F3" s="0" t="s">
        <v>297</v>
      </c>
    </row>
    <row r="4" customFormat="false" ht="15" hidden="false" customHeight="false" outlineLevel="0" collapsed="false">
      <c r="A4" s="0" t="s">
        <v>19</v>
      </c>
      <c r="B4" s="0" t="s">
        <v>301</v>
      </c>
      <c r="C4" s="0" t="n">
        <v>3216</v>
      </c>
      <c r="D4" s="0" t="s">
        <v>302</v>
      </c>
      <c r="E4" s="0" t="s">
        <v>303</v>
      </c>
      <c r="F4" s="0" t="s">
        <v>297</v>
      </c>
    </row>
    <row r="5" customFormat="false" ht="15" hidden="false" customHeight="false" outlineLevel="0" collapsed="false">
      <c r="A5" s="0" t="s">
        <v>19</v>
      </c>
      <c r="B5" s="0" t="s">
        <v>304</v>
      </c>
      <c r="C5" s="0" t="n">
        <v>3190</v>
      </c>
      <c r="D5" s="0" t="s">
        <v>222</v>
      </c>
      <c r="E5" s="0" t="s">
        <v>305</v>
      </c>
      <c r="F5" s="0" t="s">
        <v>297</v>
      </c>
    </row>
    <row r="6" customFormat="false" ht="15" hidden="false" customHeight="false" outlineLevel="0" collapsed="false">
      <c r="A6" s="0" t="s">
        <v>19</v>
      </c>
      <c r="B6" s="0" t="s">
        <v>306</v>
      </c>
      <c r="C6" s="0" t="n">
        <v>3042</v>
      </c>
      <c r="D6" s="0" t="s">
        <v>307</v>
      </c>
      <c r="E6" s="0" t="s">
        <v>308</v>
      </c>
      <c r="F6" s="0" t="s">
        <v>297</v>
      </c>
    </row>
    <row r="7" customFormat="false" ht="15" hidden="false" customHeight="false" outlineLevel="0" collapsed="false">
      <c r="A7" s="0" t="s">
        <v>19</v>
      </c>
      <c r="B7" s="0" t="s">
        <v>309</v>
      </c>
      <c r="C7" s="0" t="n">
        <v>3028</v>
      </c>
      <c r="D7" s="0" t="s">
        <v>310</v>
      </c>
      <c r="E7" s="0" t="s">
        <v>311</v>
      </c>
      <c r="F7" s="0" t="s">
        <v>297</v>
      </c>
    </row>
    <row r="8" customFormat="false" ht="15" hidden="false" customHeight="false" outlineLevel="0" collapsed="false">
      <c r="A8" s="0" t="s">
        <v>19</v>
      </c>
      <c r="B8" s="0" t="s">
        <v>312</v>
      </c>
      <c r="C8" s="0" t="n">
        <v>3021</v>
      </c>
      <c r="D8" s="0" t="s">
        <v>313</v>
      </c>
      <c r="E8" s="0" t="s">
        <v>314</v>
      </c>
      <c r="F8" s="0" t="s">
        <v>297</v>
      </c>
    </row>
    <row r="9" customFormat="false" ht="15" hidden="false" customHeight="false" outlineLevel="0" collapsed="false">
      <c r="A9" s="0" t="s">
        <v>19</v>
      </c>
      <c r="B9" s="0" t="s">
        <v>315</v>
      </c>
      <c r="C9" s="0" t="n">
        <v>2618</v>
      </c>
      <c r="D9" s="0" t="s">
        <v>316</v>
      </c>
      <c r="E9" s="0" t="s">
        <v>317</v>
      </c>
      <c r="F9" s="0" t="s">
        <v>297</v>
      </c>
    </row>
    <row r="10" customFormat="false" ht="15" hidden="false" customHeight="false" outlineLevel="0" collapsed="false">
      <c r="A10" s="0" t="s">
        <v>19</v>
      </c>
      <c r="B10" s="0" t="s">
        <v>318</v>
      </c>
      <c r="C10" s="0" t="n">
        <v>2602</v>
      </c>
      <c r="D10" s="0" t="s">
        <v>319</v>
      </c>
      <c r="E10" s="0" t="s">
        <v>320</v>
      </c>
      <c r="F10" s="0" t="s">
        <v>297</v>
      </c>
    </row>
    <row r="11" customFormat="false" ht="15" hidden="false" customHeight="false" outlineLevel="0" collapsed="false">
      <c r="A11" s="0" t="s">
        <v>19</v>
      </c>
      <c r="B11" s="0" t="s">
        <v>321</v>
      </c>
      <c r="C11" s="0" t="n">
        <v>2130</v>
      </c>
      <c r="D11" s="0" t="s">
        <v>322</v>
      </c>
      <c r="E11" s="0" t="s">
        <v>323</v>
      </c>
      <c r="F11" s="0" t="s">
        <v>297</v>
      </c>
    </row>
    <row r="12" customFormat="false" ht="15" hidden="false" customHeight="false" outlineLevel="0" collapsed="false">
      <c r="A12" s="0" t="s">
        <v>19</v>
      </c>
      <c r="B12" s="0" t="s">
        <v>324</v>
      </c>
      <c r="C12" s="0" t="n">
        <v>2101</v>
      </c>
      <c r="D12" s="0" t="s">
        <v>325</v>
      </c>
      <c r="E12" s="0" t="s">
        <v>326</v>
      </c>
      <c r="F12" s="0" t="s">
        <v>297</v>
      </c>
    </row>
    <row r="13" customFormat="false" ht="15" hidden="false" customHeight="false" outlineLevel="0" collapsed="false">
      <c r="A13" s="0" t="s">
        <v>19</v>
      </c>
      <c r="B13" s="0" t="s">
        <v>327</v>
      </c>
      <c r="C13" s="0" t="n">
        <v>2100</v>
      </c>
      <c r="D13" s="0" t="s">
        <v>328</v>
      </c>
      <c r="E13" s="0" t="s">
        <v>329</v>
      </c>
      <c r="F13" s="0" t="s">
        <v>297</v>
      </c>
    </row>
    <row r="14" customFormat="false" ht="15" hidden="false" customHeight="false" outlineLevel="0" collapsed="false">
      <c r="A14" s="0" t="s">
        <v>19</v>
      </c>
      <c r="B14" s="0" t="s">
        <v>330</v>
      </c>
      <c r="C14" s="0" t="n">
        <v>2003</v>
      </c>
      <c r="D14" s="0" t="s">
        <v>331</v>
      </c>
      <c r="E14" s="0" t="s">
        <v>332</v>
      </c>
      <c r="F14" s="0" t="s">
        <v>297</v>
      </c>
    </row>
    <row r="15" customFormat="false" ht="15" hidden="false" customHeight="false" outlineLevel="0" collapsed="false">
      <c r="A15" s="0" t="s">
        <v>19</v>
      </c>
      <c r="B15" s="0" t="s">
        <v>333</v>
      </c>
      <c r="C15" s="0" t="n">
        <v>2001</v>
      </c>
      <c r="D15" s="0" t="s">
        <v>334</v>
      </c>
      <c r="E15" s="0" t="s">
        <v>335</v>
      </c>
      <c r="F15" s="0" t="s">
        <v>297</v>
      </c>
    </row>
    <row r="16" customFormat="false" ht="15" hidden="false" customHeight="false" outlineLevel="0" collapsed="false">
      <c r="A16" s="0" t="s">
        <v>19</v>
      </c>
      <c r="B16" s="0" t="s">
        <v>336</v>
      </c>
      <c r="C16" s="0" t="n">
        <v>1840</v>
      </c>
      <c r="D16" s="0" t="s">
        <v>307</v>
      </c>
      <c r="E16" s="0" t="s">
        <v>337</v>
      </c>
      <c r="F16" s="0" t="s">
        <v>297</v>
      </c>
    </row>
    <row r="17" customFormat="false" ht="15" hidden="false" customHeight="false" outlineLevel="0" collapsed="false">
      <c r="A17" s="0" t="s">
        <v>19</v>
      </c>
      <c r="B17" s="0" t="s">
        <v>338</v>
      </c>
      <c r="C17" s="0" t="n">
        <v>1728</v>
      </c>
      <c r="D17" s="0" t="s">
        <v>325</v>
      </c>
      <c r="E17" s="0" t="s">
        <v>339</v>
      </c>
      <c r="F17" s="0" t="s">
        <v>297</v>
      </c>
    </row>
    <row r="18" customFormat="false" ht="15" hidden="false" customHeight="false" outlineLevel="0" collapsed="false">
      <c r="A18" s="0" t="s">
        <v>19</v>
      </c>
      <c r="B18" s="0" t="s">
        <v>340</v>
      </c>
      <c r="C18" s="0" t="n">
        <v>1654</v>
      </c>
      <c r="D18" s="0" t="s">
        <v>341</v>
      </c>
      <c r="E18" s="0" t="s">
        <v>342</v>
      </c>
      <c r="F18" s="0" t="s">
        <v>297</v>
      </c>
    </row>
    <row r="19" customFormat="false" ht="15" hidden="false" customHeight="false" outlineLevel="0" collapsed="false">
      <c r="A19" s="0" t="s">
        <v>19</v>
      </c>
      <c r="B19" s="0" t="s">
        <v>343</v>
      </c>
      <c r="C19" s="0" t="n">
        <v>1479</v>
      </c>
      <c r="D19" s="0" t="s">
        <v>203</v>
      </c>
      <c r="E19" s="0" t="s">
        <v>344</v>
      </c>
      <c r="F19" s="0" t="s">
        <v>297</v>
      </c>
    </row>
    <row r="20" customFormat="false" ht="15" hidden="false" customHeight="false" outlineLevel="0" collapsed="false">
      <c r="A20" s="0" t="s">
        <v>19</v>
      </c>
      <c r="B20" s="0" t="s">
        <v>345</v>
      </c>
      <c r="C20" s="0" t="n">
        <v>1474</v>
      </c>
      <c r="D20" s="0" t="s">
        <v>346</v>
      </c>
      <c r="E20" s="0" t="s">
        <v>347</v>
      </c>
      <c r="F20" s="0" t="s">
        <v>297</v>
      </c>
    </row>
    <row r="21" customFormat="false" ht="15" hidden="false" customHeight="false" outlineLevel="0" collapsed="false">
      <c r="A21" s="0" t="s">
        <v>19</v>
      </c>
      <c r="B21" s="0" t="s">
        <v>348</v>
      </c>
      <c r="C21" s="0" t="n">
        <v>1474</v>
      </c>
      <c r="D21" s="0" t="s">
        <v>21</v>
      </c>
      <c r="E21" s="0" t="s">
        <v>349</v>
      </c>
      <c r="F21" s="0" t="s">
        <v>297</v>
      </c>
    </row>
    <row r="22" customFormat="false" ht="15" hidden="false" customHeight="false" outlineLevel="0" collapsed="false">
      <c r="A22" s="0" t="s">
        <v>19</v>
      </c>
      <c r="B22" s="0" t="s">
        <v>350</v>
      </c>
      <c r="C22" s="0" t="n">
        <v>1353</v>
      </c>
      <c r="D22" s="0" t="s">
        <v>351</v>
      </c>
      <c r="E22" s="0" t="s">
        <v>352</v>
      </c>
      <c r="F22" s="0" t="s">
        <v>297</v>
      </c>
    </row>
    <row r="23" customFormat="false" ht="15" hidden="false" customHeight="false" outlineLevel="0" collapsed="false">
      <c r="A23" s="0" t="s">
        <v>19</v>
      </c>
      <c r="B23" s="0" t="s">
        <v>353</v>
      </c>
      <c r="C23" s="0" t="n">
        <v>1284</v>
      </c>
      <c r="D23" s="0" t="s">
        <v>354</v>
      </c>
      <c r="E23" s="0" t="s">
        <v>355</v>
      </c>
      <c r="F23" s="0" t="s">
        <v>297</v>
      </c>
    </row>
    <row r="24" customFormat="false" ht="15" hidden="false" customHeight="false" outlineLevel="0" collapsed="false">
      <c r="A24" s="0" t="s">
        <v>19</v>
      </c>
      <c r="B24" s="0" t="s">
        <v>356</v>
      </c>
      <c r="C24" s="0" t="n">
        <v>1195</v>
      </c>
      <c r="D24" s="0" t="s">
        <v>357</v>
      </c>
      <c r="E24" s="0" t="s">
        <v>358</v>
      </c>
      <c r="F24" s="0" t="s">
        <v>297</v>
      </c>
    </row>
    <row r="25" customFormat="false" ht="15" hidden="false" customHeight="false" outlineLevel="0" collapsed="false">
      <c r="A25" s="0" t="s">
        <v>19</v>
      </c>
      <c r="B25" s="0" t="s">
        <v>359</v>
      </c>
      <c r="C25" s="0" t="n">
        <v>1156</v>
      </c>
      <c r="D25" s="0" t="s">
        <v>354</v>
      </c>
      <c r="E25" s="0" t="s">
        <v>360</v>
      </c>
      <c r="F25" s="0" t="s">
        <v>297</v>
      </c>
    </row>
    <row r="26" customFormat="false" ht="15" hidden="false" customHeight="false" outlineLevel="0" collapsed="false">
      <c r="A26" s="0" t="s">
        <v>19</v>
      </c>
      <c r="B26" s="0" t="s">
        <v>361</v>
      </c>
      <c r="C26" s="0" t="n">
        <v>1058</v>
      </c>
      <c r="D26" s="0" t="s">
        <v>362</v>
      </c>
      <c r="E26" s="0" t="s">
        <v>363</v>
      </c>
      <c r="F26" s="0" t="s">
        <v>297</v>
      </c>
    </row>
    <row r="27" customFormat="false" ht="15" hidden="false" customHeight="false" outlineLevel="0" collapsed="false">
      <c r="A27" s="0" t="s">
        <v>102</v>
      </c>
      <c r="B27" s="0" t="s">
        <v>364</v>
      </c>
      <c r="C27" s="0" t="n">
        <v>2722</v>
      </c>
      <c r="D27" s="0" t="s">
        <v>365</v>
      </c>
      <c r="E27" s="0" t="s">
        <v>366</v>
      </c>
      <c r="F27" s="0" t="s">
        <v>297</v>
      </c>
    </row>
    <row r="28" customFormat="false" ht="15" hidden="false" customHeight="false" outlineLevel="0" collapsed="false">
      <c r="A28" s="0" t="s">
        <v>102</v>
      </c>
      <c r="B28" s="0" t="s">
        <v>367</v>
      </c>
      <c r="C28" s="0" t="n">
        <v>3757</v>
      </c>
      <c r="D28" s="0" t="s">
        <v>365</v>
      </c>
      <c r="E28" s="0" t="s">
        <v>368</v>
      </c>
      <c r="F28" s="0" t="s">
        <v>297</v>
      </c>
    </row>
    <row r="29" customFormat="false" ht="15" hidden="false" customHeight="false" outlineLevel="0" collapsed="false">
      <c r="A29" s="0" t="s">
        <v>102</v>
      </c>
      <c r="B29" s="0" t="s">
        <v>369</v>
      </c>
      <c r="C29" s="0" t="n">
        <v>1591</v>
      </c>
      <c r="D29" s="0" t="s">
        <v>365</v>
      </c>
      <c r="E29" s="0" t="s">
        <v>370</v>
      </c>
      <c r="F29" s="0" t="s">
        <v>297</v>
      </c>
    </row>
    <row r="30" customFormat="false" ht="15" hidden="false" customHeight="false" outlineLevel="0" collapsed="false">
      <c r="A30" s="0" t="s">
        <v>102</v>
      </c>
      <c r="B30" s="0" t="s">
        <v>371</v>
      </c>
      <c r="C30" s="0" t="n">
        <v>2099</v>
      </c>
      <c r="D30" s="0" t="s">
        <v>365</v>
      </c>
      <c r="E30" s="0" t="s">
        <v>372</v>
      </c>
      <c r="F30" s="0" t="s">
        <v>297</v>
      </c>
    </row>
    <row r="31" customFormat="false" ht="15" hidden="false" customHeight="false" outlineLevel="0" collapsed="false">
      <c r="A31" s="0" t="s">
        <v>102</v>
      </c>
      <c r="B31" s="0" t="s">
        <v>373</v>
      </c>
      <c r="C31" s="0" t="n">
        <v>6668</v>
      </c>
      <c r="D31" s="0" t="s">
        <v>365</v>
      </c>
      <c r="E31" s="0" t="s">
        <v>374</v>
      </c>
      <c r="F31" s="0" t="s">
        <v>297</v>
      </c>
    </row>
    <row r="32" customFormat="false" ht="15" hidden="false" customHeight="false" outlineLevel="0" collapsed="false">
      <c r="A32" s="0" t="s">
        <v>102</v>
      </c>
      <c r="B32" s="0" t="s">
        <v>375</v>
      </c>
      <c r="C32" s="0" t="n">
        <v>1478</v>
      </c>
      <c r="D32" s="0" t="s">
        <v>365</v>
      </c>
      <c r="E32" s="0" t="s">
        <v>376</v>
      </c>
      <c r="F32" s="0" t="s">
        <v>297</v>
      </c>
    </row>
    <row r="33" customFormat="false" ht="15" hidden="false" customHeight="false" outlineLevel="0" collapsed="false">
      <c r="A33" s="0" t="s">
        <v>102</v>
      </c>
      <c r="B33" s="0" t="s">
        <v>377</v>
      </c>
      <c r="C33" s="0" t="n">
        <v>2164</v>
      </c>
      <c r="D33" s="0" t="s">
        <v>365</v>
      </c>
      <c r="E33" s="0" t="s">
        <v>378</v>
      </c>
      <c r="F33" s="0" t="s">
        <v>297</v>
      </c>
    </row>
    <row r="34" customFormat="false" ht="15" hidden="false" customHeight="false" outlineLevel="0" collapsed="false">
      <c r="A34" s="0" t="s">
        <v>102</v>
      </c>
      <c r="B34" s="0" t="s">
        <v>379</v>
      </c>
      <c r="C34" s="0" t="n">
        <v>1544</v>
      </c>
      <c r="D34" s="0" t="s">
        <v>365</v>
      </c>
      <c r="E34" s="0" t="s">
        <v>380</v>
      </c>
      <c r="F34" s="0" t="s">
        <v>297</v>
      </c>
    </row>
    <row r="35" customFormat="false" ht="15" hidden="false" customHeight="false" outlineLevel="0" collapsed="false">
      <c r="A35" s="0" t="s">
        <v>102</v>
      </c>
      <c r="B35" s="0" t="s">
        <v>381</v>
      </c>
      <c r="C35" s="0" t="n">
        <v>566</v>
      </c>
      <c r="D35" s="0" t="s">
        <v>365</v>
      </c>
      <c r="E35" s="0" t="s">
        <v>382</v>
      </c>
      <c r="F35" s="0" t="s">
        <v>297</v>
      </c>
    </row>
    <row r="36" customFormat="false" ht="15" hidden="false" customHeight="false" outlineLevel="0" collapsed="false">
      <c r="A36" s="0" t="s">
        <v>102</v>
      </c>
      <c r="B36" s="0" t="s">
        <v>383</v>
      </c>
      <c r="C36" s="0" t="n">
        <v>1083</v>
      </c>
      <c r="D36" s="0" t="s">
        <v>365</v>
      </c>
      <c r="E36" s="0" t="s">
        <v>384</v>
      </c>
      <c r="F36" s="0" t="s">
        <v>297</v>
      </c>
    </row>
    <row r="37" customFormat="false" ht="15" hidden="false" customHeight="false" outlineLevel="0" collapsed="false">
      <c r="A37" s="0" t="s">
        <v>102</v>
      </c>
      <c r="B37" s="0" t="s">
        <v>385</v>
      </c>
      <c r="C37" s="0" t="n">
        <v>1366</v>
      </c>
      <c r="D37" s="0" t="s">
        <v>113</v>
      </c>
      <c r="E37" s="0" t="s">
        <v>386</v>
      </c>
      <c r="F37" s="0" t="s">
        <v>297</v>
      </c>
    </row>
    <row r="38" customFormat="false" ht="15" hidden="false" customHeight="false" outlineLevel="0" collapsed="false">
      <c r="A38" s="0" t="s">
        <v>102</v>
      </c>
      <c r="B38" s="0" t="s">
        <v>387</v>
      </c>
      <c r="C38" s="0" t="n">
        <v>2686</v>
      </c>
      <c r="D38" s="0" t="s">
        <v>113</v>
      </c>
      <c r="E38" s="0" t="s">
        <v>388</v>
      </c>
      <c r="F38" s="0" t="s">
        <v>297</v>
      </c>
    </row>
    <row r="39" customFormat="false" ht="15" hidden="false" customHeight="false" outlineLevel="0" collapsed="false">
      <c r="A39" s="0" t="s">
        <v>102</v>
      </c>
      <c r="B39" s="0" t="s">
        <v>389</v>
      </c>
      <c r="C39" s="0" t="n">
        <v>1975</v>
      </c>
      <c r="D39" s="0" t="s">
        <v>113</v>
      </c>
      <c r="E39" s="0" t="s">
        <v>390</v>
      </c>
      <c r="F39" s="0" t="s">
        <v>297</v>
      </c>
    </row>
    <row r="40" customFormat="false" ht="15" hidden="false" customHeight="false" outlineLevel="0" collapsed="false">
      <c r="A40" s="0" t="s">
        <v>102</v>
      </c>
      <c r="B40" s="0" t="s">
        <v>391</v>
      </c>
      <c r="C40" s="0" t="n">
        <v>1043</v>
      </c>
      <c r="D40" s="0" t="s">
        <v>113</v>
      </c>
      <c r="E40" s="0" t="s">
        <v>392</v>
      </c>
      <c r="F40" s="0" t="s">
        <v>297</v>
      </c>
    </row>
    <row r="41" customFormat="false" ht="15" hidden="false" customHeight="false" outlineLevel="0" collapsed="false">
      <c r="A41" s="0" t="s">
        <v>102</v>
      </c>
      <c r="B41" s="0" t="s">
        <v>393</v>
      </c>
      <c r="C41" s="0" t="n">
        <v>1702</v>
      </c>
      <c r="D41" s="0" t="s">
        <v>113</v>
      </c>
      <c r="E41" s="0" t="s">
        <v>394</v>
      </c>
      <c r="F41" s="0" t="s">
        <v>297</v>
      </c>
    </row>
    <row r="42" customFormat="false" ht="15" hidden="false" customHeight="false" outlineLevel="0" collapsed="false">
      <c r="A42" s="0" t="s">
        <v>102</v>
      </c>
      <c r="B42" s="0" t="s">
        <v>395</v>
      </c>
      <c r="C42" s="0" t="n">
        <v>1481</v>
      </c>
      <c r="D42" s="0" t="s">
        <v>113</v>
      </c>
      <c r="E42" s="0" t="s">
        <v>396</v>
      </c>
      <c r="F42" s="0" t="s">
        <v>297</v>
      </c>
    </row>
    <row r="43" customFormat="false" ht="15" hidden="false" customHeight="false" outlineLevel="0" collapsed="false">
      <c r="A43" s="0" t="s">
        <v>102</v>
      </c>
      <c r="B43" s="0" t="s">
        <v>397</v>
      </c>
      <c r="C43" s="0" t="n">
        <v>1720</v>
      </c>
      <c r="D43" s="0" t="s">
        <v>113</v>
      </c>
      <c r="E43" s="0" t="s">
        <v>398</v>
      </c>
      <c r="F43" s="0" t="s">
        <v>297</v>
      </c>
    </row>
    <row r="44" customFormat="false" ht="15" hidden="false" customHeight="false" outlineLevel="0" collapsed="false">
      <c r="A44" s="0" t="s">
        <v>102</v>
      </c>
      <c r="B44" s="0" t="s">
        <v>399</v>
      </c>
      <c r="C44" s="0" t="n">
        <v>1737</v>
      </c>
      <c r="D44" s="0" t="s">
        <v>113</v>
      </c>
      <c r="E44" s="0" t="s">
        <v>400</v>
      </c>
      <c r="F44" s="0" t="s">
        <v>297</v>
      </c>
    </row>
    <row r="45" customFormat="false" ht="15" hidden="false" customHeight="false" outlineLevel="0" collapsed="false">
      <c r="A45" s="0" t="s">
        <v>102</v>
      </c>
      <c r="B45" s="0" t="s">
        <v>401</v>
      </c>
      <c r="C45" s="0" t="n">
        <v>1236</v>
      </c>
      <c r="D45" s="0" t="s">
        <v>113</v>
      </c>
      <c r="E45" s="0" t="s">
        <v>402</v>
      </c>
      <c r="F45" s="0" t="s">
        <v>297</v>
      </c>
    </row>
    <row r="46" customFormat="false" ht="15" hidden="false" customHeight="false" outlineLevel="0" collapsed="false">
      <c r="A46" s="0" t="s">
        <v>102</v>
      </c>
      <c r="B46" s="0" t="s">
        <v>113</v>
      </c>
      <c r="C46" s="0" t="n">
        <v>2394</v>
      </c>
      <c r="D46" s="0" t="s">
        <v>113</v>
      </c>
      <c r="E46" s="0" t="s">
        <v>403</v>
      </c>
      <c r="F46" s="0" t="s">
        <v>297</v>
      </c>
    </row>
    <row r="47" customFormat="false" ht="15" hidden="false" customHeight="false" outlineLevel="0" collapsed="false">
      <c r="A47" s="0" t="s">
        <v>162</v>
      </c>
      <c r="B47" s="0" t="s">
        <v>313</v>
      </c>
      <c r="C47" s="0" t="n">
        <v>6314</v>
      </c>
      <c r="D47" s="0" t="s">
        <v>50</v>
      </c>
      <c r="E47" s="0" t="s">
        <v>404</v>
      </c>
      <c r="F47" s="0" t="s">
        <v>297</v>
      </c>
    </row>
    <row r="48" customFormat="false" ht="15" hidden="false" customHeight="false" outlineLevel="0" collapsed="false">
      <c r="A48" s="0" t="s">
        <v>162</v>
      </c>
      <c r="B48" s="0" t="s">
        <v>405</v>
      </c>
      <c r="C48" s="0" t="n">
        <v>4835</v>
      </c>
      <c r="D48" s="0" t="s">
        <v>406</v>
      </c>
      <c r="E48" s="0" t="s">
        <v>407</v>
      </c>
      <c r="F48" s="0" t="s">
        <v>297</v>
      </c>
    </row>
    <row r="49" customFormat="false" ht="15" hidden="false" customHeight="false" outlineLevel="0" collapsed="false">
      <c r="A49" s="0" t="s">
        <v>162</v>
      </c>
      <c r="B49" s="0" t="s">
        <v>408</v>
      </c>
      <c r="C49" s="0" t="n">
        <v>6501</v>
      </c>
      <c r="D49" s="0" t="s">
        <v>409</v>
      </c>
      <c r="E49" s="0" t="s">
        <v>410</v>
      </c>
      <c r="F49" s="0" t="s">
        <v>297</v>
      </c>
    </row>
    <row r="50" customFormat="false" ht="15" hidden="false" customHeight="false" outlineLevel="0" collapsed="false">
      <c r="A50" s="0" t="s">
        <v>162</v>
      </c>
      <c r="B50" s="0" t="s">
        <v>411</v>
      </c>
      <c r="C50" s="0" t="n">
        <v>3532</v>
      </c>
      <c r="D50" s="0" t="s">
        <v>412</v>
      </c>
      <c r="E50" s="0" t="s">
        <v>413</v>
      </c>
      <c r="F50" s="0" t="s">
        <v>297</v>
      </c>
    </row>
    <row r="51" customFormat="false" ht="15" hidden="false" customHeight="false" outlineLevel="0" collapsed="false">
      <c r="A51" s="0" t="s">
        <v>162</v>
      </c>
      <c r="B51" s="0" t="s">
        <v>414</v>
      </c>
      <c r="C51" s="0" t="n">
        <v>1911</v>
      </c>
      <c r="D51" s="0" t="s">
        <v>307</v>
      </c>
      <c r="E51" s="0" t="s">
        <v>415</v>
      </c>
      <c r="F51" s="0" t="s">
        <v>297</v>
      </c>
    </row>
    <row r="52" customFormat="false" ht="15" hidden="false" customHeight="false" outlineLevel="0" collapsed="false">
      <c r="A52" s="0" t="s">
        <v>162</v>
      </c>
      <c r="B52" s="0" t="s">
        <v>416</v>
      </c>
      <c r="C52" s="0" t="n">
        <v>2656</v>
      </c>
      <c r="D52" s="0" t="s">
        <v>307</v>
      </c>
      <c r="E52" s="0" t="s">
        <v>417</v>
      </c>
      <c r="F52" s="0" t="s">
        <v>297</v>
      </c>
    </row>
    <row r="53" customFormat="false" ht="15" hidden="false" customHeight="false" outlineLevel="0" collapsed="false">
      <c r="A53" s="0" t="s">
        <v>162</v>
      </c>
      <c r="B53" s="0" t="s">
        <v>418</v>
      </c>
      <c r="C53" s="0" t="n">
        <v>1286</v>
      </c>
      <c r="D53" s="0" t="s">
        <v>419</v>
      </c>
      <c r="E53" s="0" t="s">
        <v>420</v>
      </c>
      <c r="F53" s="0" t="s">
        <v>297</v>
      </c>
    </row>
    <row r="54" customFormat="false" ht="15" hidden="false" customHeight="false" outlineLevel="0" collapsed="false">
      <c r="A54" s="0" t="s">
        <v>162</v>
      </c>
      <c r="B54" s="0" t="s">
        <v>421</v>
      </c>
      <c r="C54" s="0" t="n">
        <v>11808</v>
      </c>
      <c r="D54" s="0" t="s">
        <v>422</v>
      </c>
      <c r="E54" s="0" t="s">
        <v>423</v>
      </c>
      <c r="F54" s="0" t="s">
        <v>297</v>
      </c>
    </row>
    <row r="55" customFormat="false" ht="15" hidden="false" customHeight="false" outlineLevel="0" collapsed="false">
      <c r="A55" s="0" t="s">
        <v>162</v>
      </c>
      <c r="B55" s="0" t="s">
        <v>424</v>
      </c>
      <c r="C55" s="0" t="n">
        <v>11879</v>
      </c>
      <c r="D55" s="0" t="s">
        <v>419</v>
      </c>
      <c r="E55" s="0" t="s">
        <v>425</v>
      </c>
      <c r="F55" s="0" t="s">
        <v>297</v>
      </c>
    </row>
    <row r="56" customFormat="false" ht="15" hidden="false" customHeight="false" outlineLevel="0" collapsed="false">
      <c r="A56" s="0" t="s">
        <v>162</v>
      </c>
      <c r="B56" s="0" t="s">
        <v>276</v>
      </c>
      <c r="C56" s="0" t="n">
        <v>6386</v>
      </c>
      <c r="D56" s="0" t="s">
        <v>426</v>
      </c>
      <c r="E56" s="0" t="s">
        <v>427</v>
      </c>
      <c r="F56" s="0" t="s">
        <v>297</v>
      </c>
    </row>
    <row r="57" customFormat="false" ht="15" hidden="false" customHeight="false" outlineLevel="0" collapsed="false">
      <c r="A57" s="0" t="s">
        <v>162</v>
      </c>
      <c r="B57" s="0" t="s">
        <v>428</v>
      </c>
      <c r="C57" s="0" t="n">
        <v>4585</v>
      </c>
      <c r="D57" s="0" t="s">
        <v>429</v>
      </c>
      <c r="E57" s="0" t="s">
        <v>430</v>
      </c>
      <c r="F57" s="0" t="s">
        <v>297</v>
      </c>
    </row>
    <row r="58" customFormat="false" ht="15" hidden="false" customHeight="false" outlineLevel="0" collapsed="false">
      <c r="A58" s="0" t="s">
        <v>162</v>
      </c>
      <c r="B58" s="0" t="s">
        <v>362</v>
      </c>
      <c r="C58" s="0" t="n">
        <v>3627</v>
      </c>
      <c r="D58" s="0" t="s">
        <v>431</v>
      </c>
      <c r="E58" s="0" t="s">
        <v>432</v>
      </c>
      <c r="F58" s="0" t="s">
        <v>297</v>
      </c>
    </row>
    <row r="59" customFormat="false" ht="15" hidden="false" customHeight="false" outlineLevel="0" collapsed="false">
      <c r="A59" s="0" t="s">
        <v>162</v>
      </c>
      <c r="B59" s="0" t="s">
        <v>433</v>
      </c>
      <c r="C59" s="0" t="n">
        <v>2576</v>
      </c>
      <c r="D59" s="0" t="s">
        <v>426</v>
      </c>
      <c r="E59" s="0" t="s">
        <v>434</v>
      </c>
      <c r="F59" s="0" t="s">
        <v>297</v>
      </c>
    </row>
    <row r="60" customFormat="false" ht="15" hidden="false" customHeight="false" outlineLevel="0" collapsed="false">
      <c r="A60" s="0" t="s">
        <v>162</v>
      </c>
      <c r="B60" s="0" t="s">
        <v>435</v>
      </c>
      <c r="C60" s="0" t="n">
        <v>2360</v>
      </c>
      <c r="D60" s="0" t="s">
        <v>299</v>
      </c>
      <c r="E60" s="0" t="s">
        <v>436</v>
      </c>
      <c r="F60" s="0" t="s">
        <v>297</v>
      </c>
    </row>
    <row r="61" customFormat="false" ht="15" hidden="false" customHeight="false" outlineLevel="0" collapsed="false">
      <c r="A61" s="0" t="s">
        <v>162</v>
      </c>
      <c r="B61" s="0" t="s">
        <v>437</v>
      </c>
      <c r="C61" s="0" t="n">
        <v>1285</v>
      </c>
      <c r="D61" s="0" t="s">
        <v>299</v>
      </c>
      <c r="E61" s="0" t="s">
        <v>438</v>
      </c>
      <c r="F61" s="0" t="s">
        <v>297</v>
      </c>
    </row>
    <row r="62" customFormat="false" ht="15" hidden="false" customHeight="false" outlineLevel="0" collapsed="false">
      <c r="A62" s="0" t="s">
        <v>194</v>
      </c>
      <c r="B62" s="0" t="s">
        <v>439</v>
      </c>
      <c r="C62" s="0" t="n">
        <v>8639</v>
      </c>
      <c r="D62" s="0" t="s">
        <v>440</v>
      </c>
      <c r="E62" s="0" t="s">
        <v>441</v>
      </c>
      <c r="F62" s="0" t="s">
        <v>297</v>
      </c>
    </row>
    <row r="63" customFormat="false" ht="15" hidden="false" customHeight="false" outlineLevel="0" collapsed="false">
      <c r="A63" s="0" t="s">
        <v>194</v>
      </c>
      <c r="B63" s="0" t="s">
        <v>442</v>
      </c>
      <c r="C63" s="0" t="n">
        <v>2689</v>
      </c>
      <c r="D63" s="0" t="s">
        <v>351</v>
      </c>
      <c r="E63" s="0" t="s">
        <v>443</v>
      </c>
      <c r="F63" s="0" t="s">
        <v>297</v>
      </c>
    </row>
    <row r="64" customFormat="false" ht="15" hidden="false" customHeight="false" outlineLevel="0" collapsed="false">
      <c r="A64" s="0" t="s">
        <v>194</v>
      </c>
      <c r="B64" s="0" t="s">
        <v>444</v>
      </c>
      <c r="C64" s="0" t="n">
        <v>8348</v>
      </c>
      <c r="D64" s="0" t="s">
        <v>351</v>
      </c>
      <c r="E64" s="0" t="s">
        <v>445</v>
      </c>
      <c r="F64" s="0" t="s">
        <v>297</v>
      </c>
    </row>
    <row r="65" customFormat="false" ht="15" hidden="false" customHeight="false" outlineLevel="0" collapsed="false">
      <c r="A65" s="0" t="s">
        <v>194</v>
      </c>
      <c r="B65" s="0" t="s">
        <v>446</v>
      </c>
      <c r="C65" s="0" t="n">
        <v>1406</v>
      </c>
      <c r="D65" s="0" t="s">
        <v>351</v>
      </c>
      <c r="E65" s="0" t="s">
        <v>447</v>
      </c>
      <c r="F65" s="0" t="s">
        <v>297</v>
      </c>
    </row>
    <row r="66" customFormat="false" ht="15" hidden="false" customHeight="false" outlineLevel="0" collapsed="false">
      <c r="A66" s="0" t="s">
        <v>194</v>
      </c>
      <c r="B66" s="0" t="s">
        <v>448</v>
      </c>
      <c r="C66" s="0" t="n">
        <v>3142</v>
      </c>
      <c r="D66" s="0" t="s">
        <v>449</v>
      </c>
      <c r="E66" s="0" t="s">
        <v>450</v>
      </c>
      <c r="F66" s="0" t="s">
        <v>297</v>
      </c>
    </row>
    <row r="67" customFormat="false" ht="15" hidden="false" customHeight="false" outlineLevel="0" collapsed="false">
      <c r="A67" s="0" t="s">
        <v>194</v>
      </c>
      <c r="B67" s="0" t="s">
        <v>451</v>
      </c>
      <c r="C67" s="0" t="n">
        <v>3141</v>
      </c>
      <c r="D67" s="0" t="s">
        <v>452</v>
      </c>
      <c r="E67" s="0" t="s">
        <v>453</v>
      </c>
      <c r="F67" s="0" t="s">
        <v>297</v>
      </c>
    </row>
    <row r="68" customFormat="false" ht="15" hidden="false" customHeight="false" outlineLevel="0" collapsed="false">
      <c r="A68" s="0" t="s">
        <v>194</v>
      </c>
      <c r="B68" s="0" t="s">
        <v>454</v>
      </c>
      <c r="C68" s="0" t="n">
        <v>5507</v>
      </c>
      <c r="D68" s="0" t="s">
        <v>455</v>
      </c>
      <c r="E68" s="0" t="s">
        <v>456</v>
      </c>
      <c r="F68" s="0" t="s">
        <v>297</v>
      </c>
    </row>
    <row r="69" customFormat="false" ht="15" hidden="false" customHeight="false" outlineLevel="0" collapsed="false">
      <c r="A69" s="0" t="s">
        <v>194</v>
      </c>
      <c r="B69" s="0" t="s">
        <v>457</v>
      </c>
      <c r="C69" s="0" t="n">
        <v>7655</v>
      </c>
      <c r="D69" s="0" t="s">
        <v>457</v>
      </c>
      <c r="E69" s="0" t="s">
        <v>458</v>
      </c>
      <c r="F69" s="0" t="s">
        <v>297</v>
      </c>
    </row>
    <row r="70" customFormat="false" ht="15" hidden="false" customHeight="false" outlineLevel="0" collapsed="false">
      <c r="A70" s="0" t="s">
        <v>194</v>
      </c>
      <c r="B70" s="0" t="s">
        <v>459</v>
      </c>
      <c r="C70" s="0" t="n">
        <v>6557</v>
      </c>
      <c r="D70" s="0" t="s">
        <v>460</v>
      </c>
      <c r="E70" s="0" t="s">
        <v>461</v>
      </c>
      <c r="F70" s="0" t="s">
        <v>297</v>
      </c>
    </row>
    <row r="71" customFormat="false" ht="15" hidden="false" customHeight="false" outlineLevel="0" collapsed="false">
      <c r="A71" s="0" t="s">
        <v>194</v>
      </c>
      <c r="B71" s="0" t="s">
        <v>462</v>
      </c>
      <c r="C71" s="0" t="n">
        <v>2633</v>
      </c>
      <c r="D71" s="0" t="s">
        <v>463</v>
      </c>
      <c r="E71" s="0" t="s">
        <v>464</v>
      </c>
      <c r="F71" s="0" t="s">
        <v>297</v>
      </c>
    </row>
    <row r="72" customFormat="false" ht="15" hidden="false" customHeight="false" outlineLevel="0" collapsed="false">
      <c r="A72" s="0" t="s">
        <v>194</v>
      </c>
      <c r="B72" s="0" t="s">
        <v>465</v>
      </c>
      <c r="C72" s="0" t="n">
        <v>5554</v>
      </c>
      <c r="D72" s="0" t="s">
        <v>466</v>
      </c>
      <c r="E72" s="0" t="s">
        <v>467</v>
      </c>
      <c r="F72" s="0" t="s">
        <v>297</v>
      </c>
    </row>
    <row r="73" customFormat="false" ht="15" hidden="false" customHeight="false" outlineLevel="0" collapsed="false">
      <c r="A73" s="0" t="s">
        <v>194</v>
      </c>
      <c r="B73" s="0" t="s">
        <v>468</v>
      </c>
      <c r="C73" s="0" t="n">
        <v>4122</v>
      </c>
      <c r="D73" s="0" t="s">
        <v>469</v>
      </c>
      <c r="E73" s="0" t="s">
        <v>470</v>
      </c>
      <c r="F73" s="0" t="s">
        <v>297</v>
      </c>
    </row>
    <row r="74" customFormat="false" ht="15" hidden="false" customHeight="false" outlineLevel="0" collapsed="false">
      <c r="A74" s="0" t="s">
        <v>194</v>
      </c>
      <c r="B74" s="0" t="s">
        <v>471</v>
      </c>
      <c r="C74" s="0" t="n">
        <v>3567</v>
      </c>
      <c r="D74" s="0" t="s">
        <v>471</v>
      </c>
      <c r="E74" s="0" t="s">
        <v>472</v>
      </c>
      <c r="F74" s="0" t="s">
        <v>297</v>
      </c>
    </row>
    <row r="75" customFormat="false" ht="15" hidden="false" customHeight="false" outlineLevel="0" collapsed="false">
      <c r="A75" s="0" t="s">
        <v>194</v>
      </c>
      <c r="B75" s="0" t="s">
        <v>473</v>
      </c>
      <c r="C75" s="0" t="n">
        <v>1491</v>
      </c>
      <c r="D75" s="0" t="s">
        <v>307</v>
      </c>
      <c r="E75" s="0" t="s">
        <v>474</v>
      </c>
      <c r="F75" s="0" t="s">
        <v>297</v>
      </c>
    </row>
    <row r="76" customFormat="false" ht="15" hidden="false" customHeight="false" outlineLevel="0" collapsed="false">
      <c r="A76" s="0" t="s">
        <v>194</v>
      </c>
      <c r="B76" s="0" t="s">
        <v>475</v>
      </c>
      <c r="C76" s="0" t="n">
        <v>1081</v>
      </c>
      <c r="D76" s="0" t="s">
        <v>476</v>
      </c>
      <c r="E76" s="0" t="s">
        <v>477</v>
      </c>
      <c r="F76" s="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4" t="s">
        <v>478</v>
      </c>
      <c r="B1" s="4"/>
      <c r="C1" s="4"/>
      <c r="D1" s="4"/>
    </row>
    <row r="3" customFormat="false" ht="15" hidden="false" customHeight="false" outlineLevel="0" collapsed="false">
      <c r="A3" s="5" t="s">
        <v>479</v>
      </c>
    </row>
    <row r="4" customFormat="false" ht="15" hidden="false" customHeight="false" outlineLevel="0" collapsed="false">
      <c r="A4" s="0" t="s">
        <v>480</v>
      </c>
    </row>
    <row r="6" customFormat="false" ht="15" hidden="false" customHeight="false" outlineLevel="0" collapsed="false">
      <c r="A6" s="0" t="s">
        <v>481</v>
      </c>
    </row>
    <row r="8" customFormat="false" ht="15" hidden="false" customHeight="false" outlineLevel="0" collapsed="false">
      <c r="A8" s="0" t="s">
        <v>482</v>
      </c>
    </row>
    <row r="10" customFormat="false" ht="15" hidden="false" customHeight="false" outlineLevel="0" collapsed="false">
      <c r="A10" s="0" t="s">
        <v>483</v>
      </c>
    </row>
    <row r="11" customFormat="false" ht="15" hidden="false" customHeight="false" outlineLevel="0" collapsed="false">
      <c r="A11" s="0" t="s">
        <v>484</v>
      </c>
    </row>
    <row r="12" customFormat="false" ht="15" hidden="false" customHeight="false" outlineLevel="0" collapsed="false">
      <c r="A12" s="0" t="s">
        <v>485</v>
      </c>
    </row>
    <row r="14" customFormat="false" ht="15" hidden="false" customHeight="false" outlineLevel="0" collapsed="false">
      <c r="A14" s="0" t="s">
        <v>486</v>
      </c>
    </row>
    <row r="16" customFormat="false" ht="15" hidden="false" customHeight="false" outlineLevel="0" collapsed="false">
      <c r="A16" s="0" t="s">
        <v>487</v>
      </c>
    </row>
    <row r="18" customFormat="false" ht="15" hidden="false" customHeight="false" outlineLevel="0" collapsed="false">
      <c r="A18" s="0" t="s">
        <v>488</v>
      </c>
    </row>
    <row r="20" customFormat="false" ht="15" hidden="false" customHeight="false" outlineLevel="0" collapsed="false">
      <c r="A20" s="0" t="s">
        <v>489</v>
      </c>
    </row>
    <row r="21" customFormat="false" ht="15" hidden="false" customHeight="false" outlineLevel="0" collapsed="false">
      <c r="A21" s="0" t="s">
        <v>490</v>
      </c>
    </row>
    <row r="22" customFormat="false" ht="15" hidden="false" customHeight="false" outlineLevel="0" collapsed="false">
      <c r="A22" s="0" t="s">
        <v>491</v>
      </c>
    </row>
    <row r="25" customFormat="false" ht="15" hidden="false" customHeight="false" outlineLevel="0" collapsed="false">
      <c r="A25" s="5" t="s">
        <v>492</v>
      </c>
    </row>
    <row r="26" customFormat="false" ht="15" hidden="false" customHeight="false" outlineLevel="0" collapsed="false">
      <c r="A26" s="0" t="s">
        <v>493</v>
      </c>
    </row>
    <row r="28" customFormat="false" ht="15" hidden="false" customHeight="false" outlineLevel="0" collapsed="false">
      <c r="A28" s="0" t="s">
        <v>494</v>
      </c>
    </row>
    <row r="30" customFormat="false" ht="15" hidden="false" customHeight="false" outlineLevel="0" collapsed="false">
      <c r="A30" s="0" t="s">
        <v>495</v>
      </c>
    </row>
    <row r="32" customFormat="false" ht="15" hidden="false" customHeight="false" outlineLevel="0" collapsed="false">
      <c r="A32" s="0" t="s">
        <v>496</v>
      </c>
    </row>
    <row r="33" customFormat="false" ht="15" hidden="false" customHeight="false" outlineLevel="0" collapsed="false">
      <c r="A33" s="0" t="s">
        <v>497</v>
      </c>
    </row>
    <row r="34" customFormat="false" ht="15" hidden="false" customHeight="false" outlineLevel="0" collapsed="false">
      <c r="A34" s="0" t="s">
        <v>498</v>
      </c>
    </row>
    <row r="35" customFormat="false" ht="15" hidden="false" customHeight="false" outlineLevel="0" collapsed="false">
      <c r="A35" s="0" t="s">
        <v>499</v>
      </c>
    </row>
    <row r="36" customFormat="false" ht="15" hidden="false" customHeight="false" outlineLevel="0" collapsed="false">
      <c r="A36" s="0" t="s">
        <v>500</v>
      </c>
    </row>
    <row r="38" customFormat="false" ht="15" hidden="false" customHeight="false" outlineLevel="0" collapsed="false">
      <c r="A38" s="0" t="s">
        <v>501</v>
      </c>
    </row>
    <row r="40" customFormat="false" ht="15" hidden="false" customHeight="false" outlineLevel="0" collapsed="false">
      <c r="A40" s="0" t="s">
        <v>502</v>
      </c>
    </row>
    <row r="42" customFormat="false" ht="15" hidden="false" customHeight="false" outlineLevel="0" collapsed="false">
      <c r="A42" s="0" t="s">
        <v>503</v>
      </c>
    </row>
    <row r="44" customFormat="false" ht="15" hidden="false" customHeight="false" outlineLevel="0" collapsed="false">
      <c r="A44" s="0" t="s">
        <v>489</v>
      </c>
    </row>
    <row r="45" customFormat="false" ht="15" hidden="false" customHeight="false" outlineLevel="0" collapsed="false">
      <c r="A45" s="0" t="s">
        <v>490</v>
      </c>
    </row>
    <row r="48" customFormat="false" ht="15" hidden="false" customHeight="false" outlineLevel="0" collapsed="false">
      <c r="A48" s="5" t="s">
        <v>504</v>
      </c>
    </row>
    <row r="49" customFormat="false" ht="15" hidden="false" customHeight="false" outlineLevel="0" collapsed="false">
      <c r="A49" s="0" t="s">
        <v>505</v>
      </c>
    </row>
    <row r="51" customFormat="false" ht="15" hidden="false" customHeight="false" outlineLevel="0" collapsed="false">
      <c r="A51" s="0" t="s">
        <v>494</v>
      </c>
    </row>
    <row r="53" customFormat="false" ht="15" hidden="false" customHeight="false" outlineLevel="0" collapsed="false">
      <c r="A53" s="0" t="s">
        <v>506</v>
      </c>
    </row>
    <row r="55" customFormat="false" ht="15" hidden="false" customHeight="false" outlineLevel="0" collapsed="false">
      <c r="A55" s="0" t="s">
        <v>507</v>
      </c>
    </row>
    <row r="56" customFormat="false" ht="15" hidden="false" customHeight="false" outlineLevel="0" collapsed="false">
      <c r="A56" s="0" t="s">
        <v>508</v>
      </c>
    </row>
    <row r="57" customFormat="false" ht="15" hidden="false" customHeight="false" outlineLevel="0" collapsed="false">
      <c r="A57" s="0" t="s">
        <v>509</v>
      </c>
    </row>
    <row r="59" customFormat="false" ht="15" hidden="false" customHeight="false" outlineLevel="0" collapsed="false">
      <c r="A59" s="0" t="s">
        <v>510</v>
      </c>
    </row>
    <row r="61" customFormat="false" ht="15" hidden="false" customHeight="false" outlineLevel="0" collapsed="false">
      <c r="A61" s="0" t="s">
        <v>489</v>
      </c>
    </row>
    <row r="62" customFormat="false" ht="15" hidden="false" customHeight="false" outlineLevel="0" collapsed="false">
      <c r="A62" s="0" t="s">
        <v>490</v>
      </c>
    </row>
    <row r="65" customFormat="false" ht="15" hidden="false" customHeight="false" outlineLevel="0" collapsed="false">
      <c r="A65" s="5" t="s">
        <v>511</v>
      </c>
    </row>
    <row r="66" customFormat="false" ht="15" hidden="false" customHeight="false" outlineLevel="0" collapsed="false">
      <c r="A66" s="0" t="s">
        <v>512</v>
      </c>
    </row>
    <row r="68" customFormat="false" ht="15" hidden="false" customHeight="false" outlineLevel="0" collapsed="false">
      <c r="A68" s="0" t="s">
        <v>481</v>
      </c>
    </row>
    <row r="70" customFormat="false" ht="15" hidden="false" customHeight="false" outlineLevel="0" collapsed="false">
      <c r="A70" s="0" t="s">
        <v>513</v>
      </c>
    </row>
    <row r="72" customFormat="false" ht="15" hidden="false" customHeight="false" outlineLevel="0" collapsed="false">
      <c r="A72" s="0" t="s">
        <v>514</v>
      </c>
    </row>
    <row r="74" customFormat="false" ht="15" hidden="false" customHeight="false" outlineLevel="0" collapsed="false">
      <c r="A74" s="0" t="s">
        <v>489</v>
      </c>
    </row>
    <row r="77" customFormat="false" ht="15" hidden="false" customHeight="false" outlineLevel="0" collapsed="false">
      <c r="A77" s="5" t="s">
        <v>515</v>
      </c>
    </row>
    <row r="78" customFormat="false" ht="15" hidden="false" customHeight="false" outlineLevel="0" collapsed="false">
      <c r="A78" s="0" t="s">
        <v>516</v>
      </c>
    </row>
    <row r="80" customFormat="false" ht="15" hidden="false" customHeight="false" outlineLevel="0" collapsed="false">
      <c r="A80" s="0" t="s">
        <v>481</v>
      </c>
    </row>
    <row r="82" customFormat="false" ht="15" hidden="false" customHeight="false" outlineLevel="0" collapsed="false">
      <c r="A82" s="0" t="s">
        <v>517</v>
      </c>
    </row>
    <row r="83" customFormat="false" ht="15" hidden="false" customHeight="false" outlineLevel="0" collapsed="false">
      <c r="A83" s="0" t="s">
        <v>518</v>
      </c>
    </row>
    <row r="85" customFormat="false" ht="15" hidden="false" customHeight="false" outlineLevel="0" collapsed="false">
      <c r="A85" s="0" t="s">
        <v>519</v>
      </c>
    </row>
    <row r="87" customFormat="false" ht="15" hidden="false" customHeight="false" outlineLevel="0" collapsed="false">
      <c r="A87" s="0" t="s">
        <v>489</v>
      </c>
    </row>
    <row r="88" customFormat="false" ht="15" hidden="false" customHeight="false" outlineLevel="0" collapsed="false">
      <c r="A88" s="0" t="s">
        <v>490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5"/>
  </cols>
  <sheetData>
    <row r="1" customFormat="false" ht="19.7" hidden="false" customHeight="false" outlineLevel="0" collapsed="false">
      <c r="A1" s="6" t="s">
        <v>520</v>
      </c>
      <c r="B1" s="6"/>
      <c r="C1" s="6"/>
      <c r="D1" s="6"/>
    </row>
    <row r="3" customFormat="false" ht="15" hidden="false" customHeight="false" outlineLevel="0" collapsed="false">
      <c r="A3" s="7" t="s">
        <v>521</v>
      </c>
    </row>
    <row r="5" customFormat="false" ht="15" hidden="false" customHeight="false" outlineLevel="0" collapsed="false">
      <c r="A5" s="0" t="s">
        <v>522</v>
      </c>
      <c r="B5" s="0" t="n">
        <f aca="false">36</f>
        <v>36</v>
      </c>
    </row>
    <row r="6" customFormat="false" ht="15" hidden="false" customHeight="false" outlineLevel="0" collapsed="false">
      <c r="A6" s="0" t="s">
        <v>523</v>
      </c>
      <c r="B6" s="0" t="n">
        <f aca="false">75</f>
        <v>75</v>
      </c>
    </row>
    <row r="7" customFormat="false" ht="15" hidden="false" customHeight="false" outlineLevel="0" collapsed="false">
      <c r="A7" s="0" t="s">
        <v>524</v>
      </c>
      <c r="B7" s="0" t="n">
        <f aca="false">111</f>
        <v>111</v>
      </c>
    </row>
    <row r="9" customFormat="false" ht="15" hidden="false" customHeight="false" outlineLevel="0" collapsed="false">
      <c r="A9" s="0" t="s">
        <v>525</v>
      </c>
      <c r="B9" s="0" t="n">
        <f aca="false">COUNTIF('A-List (50 Priority)'!N:N,"Contacted")</f>
        <v>0</v>
      </c>
    </row>
    <row r="10" customFormat="false" ht="15" hidden="false" customHeight="false" outlineLevel="0" collapsed="false">
      <c r="A10" s="0" t="s">
        <v>526</v>
      </c>
      <c r="B10" s="0" t="n">
        <f aca="false">COUNTIF('A-List (50 Priority)'!N:N,"Responded")</f>
        <v>0</v>
      </c>
    </row>
    <row r="11" customFormat="false" ht="15" hidden="false" customHeight="false" outlineLevel="0" collapsed="false">
      <c r="A11" s="0" t="s">
        <v>527</v>
      </c>
      <c r="B11" s="0" t="n">
        <f aca="false">COUNTIF('A-List (50 Priority)'!N:N,"Demo Scheduled")</f>
        <v>0</v>
      </c>
    </row>
    <row r="12" customFormat="false" ht="15" hidden="false" customHeight="false" outlineLevel="0" collapsed="false">
      <c r="A12" s="0" t="s">
        <v>528</v>
      </c>
      <c r="B12" s="0" t="n">
        <f aca="false">COUNTIF('A-List (50 Priority)'!N:N,"Won")</f>
        <v>0</v>
      </c>
    </row>
    <row r="14" customFormat="false" ht="15" hidden="false" customHeight="false" outlineLevel="0" collapsed="false">
      <c r="A14" s="0" t="s">
        <v>529</v>
      </c>
      <c r="B14" s="0" t="n">
        <f aca="false">COUNTIF('B-List (200)'!F:F,"Sent")</f>
        <v>0</v>
      </c>
    </row>
    <row r="15" customFormat="false" ht="15" hidden="false" customHeight="false" outlineLevel="0" collapsed="false">
      <c r="A15" s="0" t="s">
        <v>530</v>
      </c>
      <c r="B15" s="0" t="n">
        <f aca="false">COUNTIF('B-List (200)'!H:H,"Yes")</f>
        <v>0</v>
      </c>
    </row>
    <row r="16" customFormat="false" ht="15" hidden="false" customHeight="false" outlineLevel="0" collapsed="false">
      <c r="A16" s="0" t="s">
        <v>531</v>
      </c>
      <c r="B16" s="0" t="n">
        <f aca="false">COUNTIF('B-List (200)'!I:I,"Yes")</f>
        <v>0</v>
      </c>
    </row>
    <row r="17" customFormat="false" ht="15" hidden="false" customHeight="false" outlineLevel="0" collapsed="false">
      <c r="A17" s="0" t="s">
        <v>532</v>
      </c>
      <c r="B17" s="0" t="n">
        <f aca="false">COUNTIF('B-List (200)'!J:J,"Yes")</f>
        <v>0</v>
      </c>
    </row>
    <row r="20" customFormat="false" ht="15" hidden="false" customHeight="false" outlineLevel="0" collapsed="false">
      <c r="A20" s="7" t="s">
        <v>533</v>
      </c>
    </row>
    <row r="21" customFormat="false" ht="15" hidden="false" customHeight="false" outlineLevel="0" collapsed="false">
      <c r="A21" s="8" t="s">
        <v>534</v>
      </c>
      <c r="B21" s="8" t="s">
        <v>535</v>
      </c>
      <c r="C21" s="8" t="s">
        <v>536</v>
      </c>
      <c r="D21" s="8" t="s">
        <v>537</v>
      </c>
    </row>
    <row r="22" customFormat="false" ht="15" hidden="false" customHeight="false" outlineLevel="0" collapsed="false">
      <c r="A22" s="0" t="s">
        <v>538</v>
      </c>
      <c r="B22" s="0" t="s">
        <v>539</v>
      </c>
      <c r="C22" s="0" t="s">
        <v>539</v>
      </c>
      <c r="D22" s="0" t="s">
        <v>540</v>
      </c>
    </row>
    <row r="23" customFormat="false" ht="15" hidden="false" customHeight="false" outlineLevel="0" collapsed="false">
      <c r="A23" s="0" t="s">
        <v>541</v>
      </c>
      <c r="B23" s="0" t="s">
        <v>542</v>
      </c>
      <c r="C23" s="0" t="s">
        <v>543</v>
      </c>
      <c r="D23" s="0" t="s">
        <v>544</v>
      </c>
    </row>
    <row r="24" customFormat="false" ht="15" hidden="false" customHeight="false" outlineLevel="0" collapsed="false">
      <c r="A24" s="0" t="s">
        <v>545</v>
      </c>
      <c r="B24" s="0" t="s">
        <v>546</v>
      </c>
      <c r="C24" s="0" t="s">
        <v>547</v>
      </c>
      <c r="D24" s="0" t="s">
        <v>548</v>
      </c>
    </row>
    <row r="25" customFormat="false" ht="15" hidden="false" customHeight="false" outlineLevel="0" collapsed="false">
      <c r="A25" s="0" t="s">
        <v>549</v>
      </c>
      <c r="B25" s="0" t="s">
        <v>550</v>
      </c>
      <c r="C25" s="0" t="s">
        <v>551</v>
      </c>
      <c r="D25" s="0" t="s">
        <v>552</v>
      </c>
    </row>
    <row r="26" customFormat="false" ht="15" hidden="false" customHeight="false" outlineLevel="0" collapsed="false">
      <c r="A26" s="0" t="s">
        <v>553</v>
      </c>
      <c r="B26" s="0" t="s">
        <v>554</v>
      </c>
      <c r="C26" s="0" t="s">
        <v>551</v>
      </c>
      <c r="D26" s="0" t="s">
        <v>547</v>
      </c>
    </row>
    <row r="27" customFormat="false" ht="15" hidden="false" customHeight="false" outlineLevel="0" collapsed="false">
      <c r="A27" s="0" t="s">
        <v>555</v>
      </c>
      <c r="B27" s="0" t="s">
        <v>556</v>
      </c>
      <c r="C27" s="0" t="s">
        <v>557</v>
      </c>
      <c r="D27" s="0" t="s">
        <v>551</v>
      </c>
    </row>
    <row r="28" customFormat="false" ht="15" hidden="false" customHeight="false" outlineLevel="0" collapsed="false">
      <c r="A28" s="0" t="s">
        <v>558</v>
      </c>
      <c r="B28" s="0" t="s">
        <v>559</v>
      </c>
      <c r="C28" s="0" t="s">
        <v>560</v>
      </c>
      <c r="D28" s="0" t="s">
        <v>561</v>
      </c>
    </row>
    <row r="29" customFormat="false" ht="15" hidden="false" customHeight="false" outlineLevel="0" collapsed="false">
      <c r="A29" s="0" t="s">
        <v>562</v>
      </c>
      <c r="B29" s="0" t="s">
        <v>563</v>
      </c>
      <c r="C29" s="0" t="s">
        <v>564</v>
      </c>
      <c r="D29" s="0" t="s">
        <v>565</v>
      </c>
    </row>
    <row r="32" customFormat="false" ht="15" hidden="false" customHeight="false" outlineLevel="0" collapsed="false">
      <c r="A32" s="7" t="s">
        <v>566</v>
      </c>
    </row>
    <row r="33" customFormat="false" ht="15" hidden="false" customHeight="false" outlineLevel="0" collapsed="false">
      <c r="A33" s="9" t="s">
        <v>567</v>
      </c>
      <c r="B33" s="9" t="s">
        <v>568</v>
      </c>
      <c r="C33" s="9" t="s">
        <v>535</v>
      </c>
    </row>
    <row r="34" customFormat="false" ht="15" hidden="false" customHeight="false" outlineLevel="0" collapsed="false">
      <c r="A34" s="0" t="s">
        <v>569</v>
      </c>
      <c r="B34" s="0" t="s">
        <v>570</v>
      </c>
      <c r="C34" s="0" t="s">
        <v>571</v>
      </c>
    </row>
    <row r="35" customFormat="false" ht="15" hidden="false" customHeight="false" outlineLevel="0" collapsed="false">
      <c r="A35" s="0" t="s">
        <v>569</v>
      </c>
      <c r="B35" s="0" t="s">
        <v>572</v>
      </c>
      <c r="C35" s="0" t="s">
        <v>573</v>
      </c>
    </row>
    <row r="36" customFormat="false" ht="15" hidden="false" customHeight="false" outlineLevel="0" collapsed="false">
      <c r="A36" s="0" t="s">
        <v>574</v>
      </c>
      <c r="B36" s="0" t="s">
        <v>575</v>
      </c>
      <c r="C36" s="0" t="s">
        <v>576</v>
      </c>
    </row>
    <row r="37" customFormat="false" ht="15" hidden="false" customHeight="false" outlineLevel="0" collapsed="false">
      <c r="A37" s="0" t="s">
        <v>574</v>
      </c>
      <c r="B37" s="0" t="s">
        <v>577</v>
      </c>
      <c r="C37" s="0" t="s">
        <v>578</v>
      </c>
    </row>
    <row r="38" customFormat="false" ht="15" hidden="false" customHeight="false" outlineLevel="0" collapsed="false">
      <c r="A38" s="0" t="s">
        <v>579</v>
      </c>
      <c r="B38" s="0" t="s">
        <v>580</v>
      </c>
      <c r="C38" s="0" t="s">
        <v>581</v>
      </c>
    </row>
    <row r="39" customFormat="false" ht="15" hidden="false" customHeight="false" outlineLevel="0" collapsed="false">
      <c r="A39" s="0" t="s">
        <v>579</v>
      </c>
      <c r="B39" s="0" t="s">
        <v>582</v>
      </c>
      <c r="C39" s="0" t="s">
        <v>583</v>
      </c>
    </row>
    <row r="40" customFormat="false" ht="15" hidden="false" customHeight="false" outlineLevel="0" collapsed="false">
      <c r="A40" s="0" t="s">
        <v>584</v>
      </c>
      <c r="B40" s="0" t="s">
        <v>585</v>
      </c>
      <c r="C40" s="0" t="s">
        <v>586</v>
      </c>
    </row>
    <row r="41" customFormat="false" ht="15" hidden="false" customHeight="false" outlineLevel="0" collapsed="false">
      <c r="A41" s="0" t="s">
        <v>584</v>
      </c>
      <c r="B41" s="0" t="s">
        <v>587</v>
      </c>
      <c r="C41" s="0" t="s">
        <v>588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17.35" hidden="false" customHeight="false" outlineLevel="0" collapsed="false">
      <c r="A1" s="10" t="s">
        <v>589</v>
      </c>
    </row>
    <row r="3" customFormat="false" ht="15" hidden="false" customHeight="false" outlineLevel="0" collapsed="false">
      <c r="A3" s="11" t="s">
        <v>590</v>
      </c>
      <c r="B3" s="11" t="s">
        <v>591</v>
      </c>
      <c r="C3" s="11" t="s">
        <v>592</v>
      </c>
      <c r="D3" s="11" t="s">
        <v>593</v>
      </c>
      <c r="E3" s="11" t="s">
        <v>594</v>
      </c>
    </row>
    <row r="4" customFormat="false" ht="15" hidden="false" customHeight="false" outlineLevel="0" collapsed="false">
      <c r="A4" s="0" t="s">
        <v>595</v>
      </c>
      <c r="B4" s="0" t="s">
        <v>596</v>
      </c>
      <c r="C4" s="0" t="s">
        <v>597</v>
      </c>
      <c r="D4" s="0" t="s">
        <v>598</v>
      </c>
      <c r="E4" s="0" t="s">
        <v>599</v>
      </c>
    </row>
    <row r="5" customFormat="false" ht="15" hidden="false" customHeight="false" outlineLevel="0" collapsed="false">
      <c r="A5" s="0" t="s">
        <v>600</v>
      </c>
      <c r="B5" s="0" t="s">
        <v>601</v>
      </c>
      <c r="C5" s="0" t="s">
        <v>602</v>
      </c>
      <c r="D5" s="0" t="s">
        <v>603</v>
      </c>
      <c r="E5" s="0" t="s">
        <v>604</v>
      </c>
    </row>
    <row r="6" customFormat="false" ht="15" hidden="false" customHeight="false" outlineLevel="0" collapsed="false">
      <c r="A6" s="0" t="s">
        <v>605</v>
      </c>
      <c r="B6" s="0" t="s">
        <v>606</v>
      </c>
      <c r="C6" s="0" t="s">
        <v>607</v>
      </c>
      <c r="D6" s="0" t="s">
        <v>608</v>
      </c>
      <c r="E6" s="0" t="s">
        <v>609</v>
      </c>
    </row>
    <row r="7" customFormat="false" ht="15" hidden="false" customHeight="false" outlineLevel="0" collapsed="false">
      <c r="A7" s="0" t="s">
        <v>610</v>
      </c>
      <c r="B7" s="0" t="s">
        <v>611</v>
      </c>
      <c r="C7" s="0" t="s">
        <v>612</v>
      </c>
      <c r="D7" s="0" t="s">
        <v>613</v>
      </c>
      <c r="E7" s="0" t="s">
        <v>614</v>
      </c>
    </row>
    <row r="8" customFormat="false" ht="15" hidden="false" customHeight="false" outlineLevel="0" collapsed="false">
      <c r="A8" s="0" t="s">
        <v>615</v>
      </c>
      <c r="B8" s="0" t="s">
        <v>616</v>
      </c>
      <c r="C8" s="0" t="s">
        <v>617</v>
      </c>
      <c r="D8" s="0" t="s">
        <v>618</v>
      </c>
      <c r="E8" s="0" t="s">
        <v>619</v>
      </c>
    </row>
    <row r="9" customFormat="false" ht="15" hidden="false" customHeight="false" outlineLevel="0" collapsed="false">
      <c r="A9" s="0" t="s">
        <v>620</v>
      </c>
      <c r="B9" s="0" t="s">
        <v>621</v>
      </c>
      <c r="C9" s="0" t="s">
        <v>602</v>
      </c>
      <c r="D9" s="0" t="s">
        <v>622</v>
      </c>
      <c r="E9" s="0" t="s">
        <v>623</v>
      </c>
    </row>
    <row r="10" customFormat="false" ht="15" hidden="false" customHeight="false" outlineLevel="0" collapsed="false">
      <c r="A10" s="0" t="s">
        <v>624</v>
      </c>
      <c r="B10" s="0" t="s">
        <v>625</v>
      </c>
      <c r="C10" s="0" t="s">
        <v>626</v>
      </c>
      <c r="D10" s="0" t="s">
        <v>627</v>
      </c>
      <c r="E10" s="0" t="s">
        <v>628</v>
      </c>
    </row>
    <row r="11" customFormat="false" ht="15" hidden="false" customHeight="false" outlineLevel="0" collapsed="false">
      <c r="A11" s="0" t="s">
        <v>629</v>
      </c>
      <c r="B11" s="0" t="s">
        <v>630</v>
      </c>
      <c r="C11" s="0" t="s">
        <v>626</v>
      </c>
      <c r="D11" s="0" t="s">
        <v>627</v>
      </c>
      <c r="E11" s="0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2026-02-26T05:45:41Z</dcterms:created>
  <dc:creator>openpyxl</dc:creator>
  <dc:description/>
  <dc:language>en-US</dc:language>
  <cp:lastModifiedBy/>
  <dcterms:modified xsi:type="dcterms:W3CDTF">2026-02-26T05:45:41Z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